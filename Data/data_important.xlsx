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bi/Desktop/Repos/biosistemas/HybridKinetics-IIQ3733/Data/"/>
    </mc:Choice>
  </mc:AlternateContent>
  <xr:revisionPtr revIDLastSave="0" documentId="13_ncr:1_{419697E2-296F-2F49-B8F6-16C3E86C7DAB}" xr6:coauthVersionLast="47" xr6:coauthVersionMax="47" xr10:uidLastSave="{00000000-0000-0000-0000-000000000000}"/>
  <bookViews>
    <workbookView xWindow="0" yWindow="660" windowWidth="30240" windowHeight="18980" activeTab="7" xr2:uid="{DCEE2FFD-DF74-574A-9C33-4F01A06B7A29}"/>
  </bookViews>
  <sheets>
    <sheet name="Proteins" sheetId="1" r:id="rId1"/>
    <sheet name="ProteinRead" sheetId="4" r:id="rId2"/>
    <sheet name="Metabolites" sheetId="2" r:id="rId3"/>
    <sheet name="MetaboliteRead" sheetId="5" r:id="rId4"/>
    <sheet name="MetQ" sheetId="9" r:id="rId5"/>
    <sheet name="Fluxes" sheetId="3" r:id="rId6"/>
    <sheet name="FluxesRead" sheetId="6" r:id="rId7"/>
    <sheet name="FluxQ" sheetId="10" r:id="rId8"/>
    <sheet name="Extracelular" sheetId="7" r:id="rId9"/>
    <sheet name="ExtracelularRead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2" i="10"/>
  <c r="D10" i="10"/>
  <c r="C10" i="10"/>
  <c r="B10" i="10"/>
  <c r="D8" i="10"/>
  <c r="C8" i="10"/>
  <c r="B8" i="10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G563" i="5"/>
  <c r="AF563" i="5"/>
  <c r="AH563" i="5" s="1"/>
  <c r="U100" i="3"/>
  <c r="U99" i="3"/>
  <c r="U98" i="3"/>
  <c r="U97" i="3"/>
  <c r="U96" i="3"/>
  <c r="U94" i="3"/>
  <c r="U92" i="3"/>
  <c r="U91" i="3"/>
  <c r="U90" i="3"/>
  <c r="U89" i="3"/>
  <c r="U88" i="3"/>
  <c r="U87" i="3"/>
  <c r="U84" i="3"/>
  <c r="U83" i="3"/>
  <c r="U82" i="3"/>
  <c r="U81" i="3"/>
  <c r="U80" i="3"/>
  <c r="U78" i="3"/>
  <c r="U76" i="3"/>
  <c r="U75" i="3"/>
  <c r="U74" i="3"/>
  <c r="U73" i="3"/>
  <c r="U72" i="3"/>
  <c r="U7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U95" i="3" s="1"/>
  <c r="C11" i="3"/>
  <c r="U79" i="3" s="1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U93" i="3" s="1"/>
  <c r="C9" i="3"/>
  <c r="U77" i="3" s="1"/>
  <c r="W71" i="3" s="1" a="1"/>
  <c r="W71" i="3" s="1"/>
  <c r="AR566" i="2"/>
  <c r="AQ566" i="2"/>
  <c r="AS56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<sst xmlns="http://schemas.openxmlformats.org/spreadsheetml/2006/main" count="2711" uniqueCount="786">
  <si>
    <t>KO01</t>
  </si>
  <si>
    <t>galM</t>
  </si>
  <si>
    <t>Conc</t>
  </si>
  <si>
    <t>glk</t>
  </si>
  <si>
    <t>pgm</t>
  </si>
  <si>
    <t>pgi</t>
  </si>
  <si>
    <t>pfkA</t>
  </si>
  <si>
    <t>pfkB</t>
  </si>
  <si>
    <t>fbp</t>
  </si>
  <si>
    <t>fbaA</t>
  </si>
  <si>
    <t>tpiA</t>
  </si>
  <si>
    <t>gapA</t>
  </si>
  <si>
    <t>pgk</t>
  </si>
  <si>
    <t>gpmA</t>
  </si>
  <si>
    <t>eno</t>
  </si>
  <si>
    <t>pykA</t>
  </si>
  <si>
    <t>pykF</t>
  </si>
  <si>
    <t>ppsA</t>
  </si>
  <si>
    <t>zwf</t>
  </si>
  <si>
    <t>pgl</t>
  </si>
  <si>
    <t>gnd</t>
  </si>
  <si>
    <t>rpe</t>
  </si>
  <si>
    <t>rpiA</t>
  </si>
  <si>
    <t>rpiB</t>
  </si>
  <si>
    <t>tktA</t>
  </si>
  <si>
    <t>tktB</t>
  </si>
  <si>
    <t>talA</t>
  </si>
  <si>
    <t>talB</t>
  </si>
  <si>
    <t>edd</t>
  </si>
  <si>
    <t>eda</t>
  </si>
  <si>
    <t>aceE</t>
  </si>
  <si>
    <t>aceF</t>
  </si>
  <si>
    <t>lpdA</t>
  </si>
  <si>
    <t>pckA</t>
  </si>
  <si>
    <t>ppc</t>
  </si>
  <si>
    <t>sfcA</t>
  </si>
  <si>
    <t>gltA</t>
  </si>
  <si>
    <t>acnA</t>
  </si>
  <si>
    <t>acnB</t>
  </si>
  <si>
    <t>icdA</t>
  </si>
  <si>
    <t>sucA</t>
  </si>
  <si>
    <t>sucB</t>
  </si>
  <si>
    <t>sucC</t>
  </si>
  <si>
    <t>sucD</t>
  </si>
  <si>
    <t>sdhA</t>
  </si>
  <si>
    <t>sdhB</t>
  </si>
  <si>
    <t>frdA</t>
  </si>
  <si>
    <t>fumA</t>
  </si>
  <si>
    <t>fumB</t>
  </si>
  <si>
    <t>fumC</t>
  </si>
  <si>
    <t>mdh</t>
  </si>
  <si>
    <t>aceA</t>
  </si>
  <si>
    <t>aceB</t>
  </si>
  <si>
    <t>glcB</t>
  </si>
  <si>
    <t>acs</t>
  </si>
  <si>
    <t>prpC</t>
  </si>
  <si>
    <t>ldhA</t>
  </si>
  <si>
    <t>pflA</t>
  </si>
  <si>
    <t>pflB</t>
  </si>
  <si>
    <t>pflC</t>
  </si>
  <si>
    <t>adhE</t>
  </si>
  <si>
    <t>pta</t>
  </si>
  <si>
    <t>ackA</t>
  </si>
  <si>
    <t>adk</t>
  </si>
  <si>
    <t>ptsH</t>
  </si>
  <si>
    <t>ptsI</t>
  </si>
  <si>
    <t>KO02</t>
  </si>
  <si>
    <t>KO03</t>
  </si>
  <si>
    <t>KO04</t>
  </si>
  <si>
    <t>KO05</t>
  </si>
  <si>
    <t>KO06</t>
  </si>
  <si>
    <t>KO07</t>
  </si>
  <si>
    <t>KO08</t>
  </si>
  <si>
    <t>KO09</t>
  </si>
  <si>
    <t>KO10</t>
  </si>
  <si>
    <t>KO11</t>
  </si>
  <si>
    <t>KO12</t>
  </si>
  <si>
    <t>KO13</t>
  </si>
  <si>
    <t>KO14</t>
  </si>
  <si>
    <t>KO15</t>
  </si>
  <si>
    <t>KO16</t>
  </si>
  <si>
    <t>KO17</t>
  </si>
  <si>
    <t>KO18</t>
  </si>
  <si>
    <t>KO19</t>
  </si>
  <si>
    <t>KO20</t>
  </si>
  <si>
    <t>KO21</t>
  </si>
  <si>
    <t>KO22</t>
  </si>
  <si>
    <t>KO23</t>
  </si>
  <si>
    <t>KO24</t>
  </si>
  <si>
    <t>pfkA_2</t>
  </si>
  <si>
    <t>fbaB</t>
  </si>
  <si>
    <t>gapC</t>
  </si>
  <si>
    <t>gpmB</t>
  </si>
  <si>
    <t>GR01</t>
  </si>
  <si>
    <t>GR02</t>
  </si>
  <si>
    <t>GR03</t>
  </si>
  <si>
    <t>GR04</t>
  </si>
  <si>
    <t>WT, 0.1h-1</t>
  </si>
  <si>
    <t>WT, 0.4h-1</t>
  </si>
  <si>
    <t>WT, 0.5h-1</t>
  </si>
  <si>
    <t>WT, 0.7h-1</t>
  </si>
  <si>
    <t>RF03</t>
  </si>
  <si>
    <t>WT(Jun)</t>
  </si>
  <si>
    <t>Sample ID</t>
  </si>
  <si>
    <t>Pyruvate</t>
  </si>
  <si>
    <t>b-Hydroxybutanoate</t>
  </si>
  <si>
    <t>Methyl sulfate</t>
  </si>
  <si>
    <t>Fumarate</t>
  </si>
  <si>
    <t>4-Oxopentanoate</t>
  </si>
  <si>
    <t>2-Oxopentanoate</t>
  </si>
  <si>
    <t>Hexanoate</t>
  </si>
  <si>
    <t>Succinate</t>
  </si>
  <si>
    <t>2-Hydroxypentanoate</t>
  </si>
  <si>
    <t>Benzoate</t>
  </si>
  <si>
    <t>Isethionate</t>
  </si>
  <si>
    <t>Citraconate</t>
  </si>
  <si>
    <t>4-Oxohexanoate</t>
  </si>
  <si>
    <t>4-Acetylbutanoate</t>
  </si>
  <si>
    <t>Heptanoate</t>
  </si>
  <si>
    <t>Malate</t>
  </si>
  <si>
    <t>o-Hydroxybenzoate</t>
  </si>
  <si>
    <t>Octanoate</t>
  </si>
  <si>
    <t>2-Oxoglutarate</t>
  </si>
  <si>
    <t>Glutamate</t>
  </si>
  <si>
    <t>trans-Cinnamate</t>
  </si>
  <si>
    <t>3-Phenylpropionate</t>
  </si>
  <si>
    <t>Phosphoenolpyruvate</t>
  </si>
  <si>
    <t>Dihydroxyacetone phosphate</t>
  </si>
  <si>
    <t>Glycerophosphorate</t>
  </si>
  <si>
    <t>Decanoate</t>
  </si>
  <si>
    <t>Phenyl phosphate</t>
  </si>
  <si>
    <t>cis-Aconitate</t>
  </si>
  <si>
    <t>Shikimate</t>
  </si>
  <si>
    <t>N-Acetylaspartate</t>
  </si>
  <si>
    <t>Carbamoylaspartate</t>
  </si>
  <si>
    <t>p-Hydroxyphenylpyruvate</t>
  </si>
  <si>
    <t>4-Pyridoxate</t>
  </si>
  <si>
    <t>3-Phosphoglycerate</t>
  </si>
  <si>
    <t>Azelaate</t>
  </si>
  <si>
    <t>N-Acetylglutamate</t>
  </si>
  <si>
    <t>Citrate</t>
  </si>
  <si>
    <t>Quinate</t>
  </si>
  <si>
    <t>Phenaceturate</t>
  </si>
  <si>
    <t>Dodecanoate</t>
  </si>
  <si>
    <t>Sebacate</t>
  </si>
  <si>
    <t>Benzylsuccinate</t>
  </si>
  <si>
    <t>2-Deoxyribose 1-phosphate</t>
  </si>
  <si>
    <t>Pantothenate</t>
  </si>
  <si>
    <t>Ribulose 5-phosphate</t>
  </si>
  <si>
    <t>Ribose 5-phosphate</t>
  </si>
  <si>
    <t>Dodecanedioate</t>
  </si>
  <si>
    <t>2-Deoxyglucose 6-phosphate</t>
  </si>
  <si>
    <t>Pyridoxal 5-phosphate</t>
  </si>
  <si>
    <t>Glucosamine 6-phosphate</t>
  </si>
  <si>
    <t>Glucose 1-phosphate</t>
  </si>
  <si>
    <t>Fructose 6-phosphate</t>
  </si>
  <si>
    <t>Glucose 6-phosphate</t>
  </si>
  <si>
    <t>Sorbitol 6-phosphate</t>
  </si>
  <si>
    <t>2,3-Diphosphoglycerate</t>
  </si>
  <si>
    <t>Galacturonate 1-phosphate</t>
  </si>
  <si>
    <t>6-Phosphogluconate</t>
  </si>
  <si>
    <t>Sedoheptulose-7-phosphate</t>
  </si>
  <si>
    <t>Argininosuccinate</t>
  </si>
  <si>
    <t>N-Acetylglucosamine 1-phosphate</t>
  </si>
  <si>
    <t>Fructose 1,6-diphosphate</t>
  </si>
  <si>
    <t>Bis(p-nitrophenyl)phosphate</t>
  </si>
  <si>
    <t>Isobutylamine</t>
  </si>
  <si>
    <t>Gly</t>
  </si>
  <si>
    <t>Isopropanolamine</t>
  </si>
  <si>
    <t>Trimethylamine N-oxide</t>
  </si>
  <si>
    <t>Pyridine</t>
  </si>
  <si>
    <t>Piperidine</t>
  </si>
  <si>
    <t>Isoamylamine</t>
  </si>
  <si>
    <t>1,4-Butanediamine</t>
  </si>
  <si>
    <t>Ala</t>
  </si>
  <si>
    <t>beta-Ala</t>
  </si>
  <si>
    <t>3-Amino-1,2-propanediol</t>
  </si>
  <si>
    <t>Aniline</t>
  </si>
  <si>
    <t>GABA</t>
  </si>
  <si>
    <t>alpha-Aminoisobutyrate</t>
  </si>
  <si>
    <t>N-Methylalanine</t>
  </si>
  <si>
    <t>N,N-Dimethylglycine</t>
  </si>
  <si>
    <t>Ser</t>
  </si>
  <si>
    <t>Diethanolamine</t>
  </si>
  <si>
    <t>Cytosine</t>
  </si>
  <si>
    <t>Creatinine</t>
  </si>
  <si>
    <t>2-Mercapto-1-methylimidazole</t>
  </si>
  <si>
    <t>Pro</t>
  </si>
  <si>
    <t>Val</t>
  </si>
  <si>
    <t>Benzimidazole</t>
  </si>
  <si>
    <t>2,4-Diaminobutyrate</t>
  </si>
  <si>
    <t>Homoserine</t>
  </si>
  <si>
    <t>Thr</t>
  </si>
  <si>
    <t>2-Amino-2-(hydroxymethyl)-1,3-propanediol</t>
  </si>
  <si>
    <t>Nicotinamide</t>
  </si>
  <si>
    <t>5-Methylcytosine</t>
  </si>
  <si>
    <t>1-Metylhistamine</t>
  </si>
  <si>
    <t>Melamine</t>
  </si>
  <si>
    <t>5-Oxoproline</t>
  </si>
  <si>
    <t>Pipecolate</t>
  </si>
  <si>
    <t>Octylamine</t>
  </si>
  <si>
    <t>N-Acetylputrescine</t>
  </si>
  <si>
    <t>Agmatine</t>
  </si>
  <si>
    <t>Hydroxyproline</t>
  </si>
  <si>
    <t>beta-Guanidinopropionate</t>
  </si>
  <si>
    <t>Creatine</t>
  </si>
  <si>
    <t>Ile+Leu</t>
  </si>
  <si>
    <t>Ile</t>
  </si>
  <si>
    <t>Leu</t>
  </si>
  <si>
    <t>Asn</t>
  </si>
  <si>
    <t>Ornithine</t>
  </si>
  <si>
    <t>Asp</t>
  </si>
  <si>
    <t>Adenine</t>
  </si>
  <si>
    <t>Acetanilide</t>
  </si>
  <si>
    <t>Hypoxanthine</t>
  </si>
  <si>
    <t>Anthranilate</t>
  </si>
  <si>
    <t>Tyramine</t>
  </si>
  <si>
    <t>Urocanate</t>
  </si>
  <si>
    <t>Histidinol</t>
  </si>
  <si>
    <t>gamma-Guanidinobutyrate</t>
  </si>
  <si>
    <t>Acetylcholine</t>
  </si>
  <si>
    <t>Spermidine</t>
  </si>
  <si>
    <t>Gln</t>
  </si>
  <si>
    <t>5,6-Dimethylbenzimidazol</t>
  </si>
  <si>
    <t>Lys</t>
  </si>
  <si>
    <t>Carbachol</t>
  </si>
  <si>
    <t>Glu+Albizziine</t>
  </si>
  <si>
    <t>O-Acetylserine</t>
  </si>
  <si>
    <t>Met</t>
  </si>
  <si>
    <t>Triethanolamine</t>
  </si>
  <si>
    <t>Guanine</t>
  </si>
  <si>
    <t>1-Adamantanamine</t>
  </si>
  <si>
    <t>Mesalamine</t>
  </si>
  <si>
    <t>Nomega-Acetylhistamine</t>
  </si>
  <si>
    <t>Pseudopelletierine</t>
  </si>
  <si>
    <t>His</t>
  </si>
  <si>
    <t>Ala-Ala</t>
  </si>
  <si>
    <t>Tolazoline</t>
  </si>
  <si>
    <t>alpha-Aminoadipate</t>
  </si>
  <si>
    <t>Carnitine</t>
  </si>
  <si>
    <t>Pterin</t>
  </si>
  <si>
    <t>Phe</t>
  </si>
  <si>
    <t>Pyridoxine</t>
  </si>
  <si>
    <t>1-Methyl-4-phenyl-1,2,3,6-tetrahydropyridine</t>
  </si>
  <si>
    <t>N-Acetylornithine</t>
  </si>
  <si>
    <t>Arg</t>
  </si>
  <si>
    <t>2-Guanidinobenzimidazole</t>
  </si>
  <si>
    <t>Citrulline</t>
  </si>
  <si>
    <t>Cys-Gly</t>
  </si>
  <si>
    <t>Glucosamine</t>
  </si>
  <si>
    <t>Tyr</t>
  </si>
  <si>
    <t>N8-Acetylspermidine</t>
  </si>
  <si>
    <t>Gly-Leu</t>
  </si>
  <si>
    <t>Castanospermine</t>
  </si>
  <si>
    <t>5-Methoxytryptamine+2,6-Diaminoheptanedioate</t>
  </si>
  <si>
    <t>2,6-Diaminoheptanedioate</t>
  </si>
  <si>
    <t>N-Acetylhistidine</t>
  </si>
  <si>
    <t>Hydroxyatrazine</t>
  </si>
  <si>
    <t>9-Amino-1,2,3,4-tetrahydroacridine</t>
  </si>
  <si>
    <t>Arginine ethyl ester</t>
  </si>
  <si>
    <t>Spermine</t>
  </si>
  <si>
    <t>Tryptophanamide+O-Acetylcarnitine</t>
  </si>
  <si>
    <t>Trp</t>
  </si>
  <si>
    <t>5-Methoxy-3-indoleacetate</t>
  </si>
  <si>
    <t>N-Acetylglucosamine</t>
  </si>
  <si>
    <t>Carnosine</t>
  </si>
  <si>
    <t>Keramine</t>
  </si>
  <si>
    <t>Thymidine+1,5-Diphenylcarbohydrazide</t>
  </si>
  <si>
    <t>Cytidine</t>
  </si>
  <si>
    <t>Pyridoxamine 5'-phosphate</t>
  </si>
  <si>
    <t>2'-Deoxyadenosine+5'-Deoxyadenosine</t>
  </si>
  <si>
    <t>N6-Methyl-2'-deoxyadenosine</t>
  </si>
  <si>
    <t>Adenosine</t>
  </si>
  <si>
    <t>Inosine</t>
  </si>
  <si>
    <t>Glu-Glu</t>
  </si>
  <si>
    <t>1-Methyladenosine</t>
  </si>
  <si>
    <t>Guanosine</t>
  </si>
  <si>
    <t>5'-Deoxy-5'-Methylthioadenosine</t>
  </si>
  <si>
    <t>Scopolamine</t>
  </si>
  <si>
    <t>Nalpha-Benzenolarginine ethylester</t>
  </si>
  <si>
    <t>Glutathione</t>
  </si>
  <si>
    <t>5-Aminoimidazole-4-carboxamide-1-ribofuranosyl 5'-monophosphate</t>
  </si>
  <si>
    <t>S-Lactoylglutathione</t>
  </si>
  <si>
    <t>S-Adenosylmethionine</t>
  </si>
  <si>
    <t>Leu-Leu-Tyr</t>
  </si>
  <si>
    <t>Oxidized glutathione</t>
  </si>
  <si>
    <t>Divalent ion from UDP-glucuronate</t>
  </si>
  <si>
    <t>Divalent ion from UDP-N-acetylglucosamine</t>
  </si>
  <si>
    <t>dCMP</t>
  </si>
  <si>
    <t>TMP</t>
  </si>
  <si>
    <t>CMP+CMP-N-acetylneuramate</t>
  </si>
  <si>
    <t>CMP</t>
  </si>
  <si>
    <t>UMP</t>
  </si>
  <si>
    <t>cAMP</t>
  </si>
  <si>
    <t>dAMP</t>
  </si>
  <si>
    <t>cGMP</t>
  </si>
  <si>
    <t>AMP</t>
  </si>
  <si>
    <t>IMP</t>
  </si>
  <si>
    <t>GMP</t>
  </si>
  <si>
    <t>Divalent ion from NADPH</t>
  </si>
  <si>
    <t>Divalent ion from CoA</t>
  </si>
  <si>
    <t>dCDP</t>
  </si>
  <si>
    <t>TDP</t>
  </si>
  <si>
    <t>CDP</t>
  </si>
  <si>
    <t>UDP</t>
  </si>
  <si>
    <t>Divalent ion from Acetyl CoA</t>
  </si>
  <si>
    <t>?Malonyl CoA</t>
  </si>
  <si>
    <t>dADP</t>
  </si>
  <si>
    <t>Divalent ion from n-Propionyl CoA</t>
  </si>
  <si>
    <t>Divalent ion from D111*</t>
  </si>
  <si>
    <t>Divalent ion from Isobutyryl CoA</t>
  </si>
  <si>
    <t>ADP</t>
  </si>
  <si>
    <t>Divalent ion from Malonyl CoA</t>
  </si>
  <si>
    <t>IDP</t>
  </si>
  <si>
    <t>Divalent ion from succinyl CoA</t>
  </si>
  <si>
    <t>GDP</t>
  </si>
  <si>
    <t>FMN</t>
  </si>
  <si>
    <t>dCTP</t>
  </si>
  <si>
    <t>Divalent ion from Lauroyl CoA</t>
  </si>
  <si>
    <t>TTP</t>
  </si>
  <si>
    <t>CTP</t>
  </si>
  <si>
    <t>UTP</t>
  </si>
  <si>
    <t>dATP</t>
  </si>
  <si>
    <t>ATP</t>
  </si>
  <si>
    <t>ITP</t>
  </si>
  <si>
    <t>GTP</t>
  </si>
  <si>
    <t>ADP-ribose</t>
  </si>
  <si>
    <t>UDP-glucose</t>
  </si>
  <si>
    <t>UDP-glucuronate</t>
  </si>
  <si>
    <t>ADP-glucose</t>
  </si>
  <si>
    <t>UDP-N-acetylglucosamine</t>
  </si>
  <si>
    <t>CMP-N-acetylneuramate</t>
  </si>
  <si>
    <t>NAD</t>
  </si>
  <si>
    <t>Nicotinamide hypoxanthine dinucleotide</t>
  </si>
  <si>
    <t>NADH</t>
  </si>
  <si>
    <t>NADP</t>
  </si>
  <si>
    <t>NADPH</t>
  </si>
  <si>
    <t>FAD</t>
  </si>
  <si>
    <t>n-Propionyl CoA</t>
  </si>
  <si>
    <t>RF04</t>
  </si>
  <si>
    <t>RF05</t>
  </si>
  <si>
    <t>RF06</t>
  </si>
  <si>
    <t>WT(Jul)</t>
  </si>
  <si>
    <t>WT(Sep)</t>
  </si>
  <si>
    <t>WT(Oct)</t>
  </si>
  <si>
    <t>Glucose + PEP -&gt; G6P + PYR</t>
  </si>
  <si>
    <t>G6P &lt;-&gt; F6P</t>
  </si>
  <si>
    <t>-</t>
  </si>
  <si>
    <t>F6P -&gt; F1,6P</t>
  </si>
  <si>
    <t>F1,6P -&gt; DHAP + G3P</t>
  </si>
  <si>
    <t>DHAP -&gt; G3P</t>
  </si>
  <si>
    <t>PEP -&gt; PYR</t>
  </si>
  <si>
    <t>PYR -&gt; AcCoA + CO2</t>
  </si>
  <si>
    <t>G6P -&gt; 6PG</t>
  </si>
  <si>
    <t>6PG -&gt; Ru5P + CO2</t>
  </si>
  <si>
    <t>Ru5P -&gt; X5P</t>
  </si>
  <si>
    <t>Ru5P -&gt; R5P</t>
  </si>
  <si>
    <t>R5P + X5P &lt;-&gt; S7P + G3P</t>
  </si>
  <si>
    <t>S7P + G3P &lt;-&gt; E4P + F6P</t>
  </si>
  <si>
    <t>X5P + E4P &lt;-&gt; F6P + G3P</t>
  </si>
  <si>
    <t>AcCoA + OAA -&gt; CIT</t>
  </si>
  <si>
    <t>CIT -&gt; ICT</t>
  </si>
  <si>
    <t>ICT -&gt; 2-KG + CO2</t>
  </si>
  <si>
    <t>2-KG -&gt; SUC + CO2</t>
  </si>
  <si>
    <t>SUC -&gt; FUM</t>
  </si>
  <si>
    <t>FUM -&gt; MAL</t>
  </si>
  <si>
    <t>MAL &lt;-&gt; OAA</t>
  </si>
  <si>
    <t>PEP + CO2 &lt;-&gt; OAA</t>
  </si>
  <si>
    <t>MAL -&gt; PYR + CO2</t>
  </si>
  <si>
    <t>ICT -&gt; Glyoxylate + SUC</t>
  </si>
  <si>
    <t>Glyoxylate + AcCoA -&gt; MAL</t>
  </si>
  <si>
    <t>6-PG -&gt; G3P + PYR</t>
  </si>
  <si>
    <t>AcCoA -&gt; Acetate</t>
  </si>
  <si>
    <t>PYR -&gt; Lactate</t>
  </si>
  <si>
    <t>AcCoA -&gt; Ethanol</t>
  </si>
  <si>
    <t>G6P -&gt; (Cell synthesis)</t>
  </si>
  <si>
    <t>F6P -&gt; (Cell synthesis)</t>
  </si>
  <si>
    <t>R5P -&gt; (Cell synthesis)</t>
  </si>
  <si>
    <t>E4P -&gt; (Cell synthesis)</t>
  </si>
  <si>
    <t>G3P -&gt; (Cell synthesis)</t>
  </si>
  <si>
    <t>3PG -&gt; (Cell synthesis)</t>
  </si>
  <si>
    <t>PEP -&gt; (Cell synthesis)</t>
  </si>
  <si>
    <t>PYR -&gt; (Cell synthesis)</t>
  </si>
  <si>
    <t>AcCoA -&gt; (Cell synthesis)</t>
  </si>
  <si>
    <t>OAA -&gt; (Cell synthesis)</t>
  </si>
  <si>
    <t>2KG -&gt; (Cell synthesis)</t>
  </si>
  <si>
    <t>CO2 -&gt; (Evolution)</t>
  </si>
  <si>
    <t>KO05x</t>
  </si>
  <si>
    <t>GR04x</t>
  </si>
  <si>
    <t>pfkA_1</t>
  </si>
  <si>
    <t>Glucose</t>
  </si>
  <si>
    <t>Ethanol</t>
  </si>
  <si>
    <t>Acetate</t>
  </si>
  <si>
    <t>D-Lactate</t>
  </si>
  <si>
    <t>L-Lactate</t>
  </si>
  <si>
    <t>Formate</t>
  </si>
  <si>
    <t>G3P -&gt; PGP</t>
  </si>
  <si>
    <t>3PG &lt;-&gt; 2PG</t>
  </si>
  <si>
    <t>2PG &lt;-&gt; PEP</t>
  </si>
  <si>
    <t>PGP -&gt; 3PG</t>
  </si>
  <si>
    <t>Ave</t>
  </si>
  <si>
    <t>Specific rates (mmol/gdcw/h)</t>
  </si>
  <si>
    <t>Glucose consumption rate</t>
  </si>
  <si>
    <t>Oxygen uptake rate (OUR)</t>
  </si>
  <si>
    <t>Carbon dioxide evolution rate (CER)</t>
  </si>
  <si>
    <t>Ethanol production rate</t>
  </si>
  <si>
    <t>Acetate production rate</t>
  </si>
  <si>
    <t>D-Lactate production rate</t>
  </si>
  <si>
    <t>Succinate production rate</t>
  </si>
  <si>
    <t>Pyruvate production rate</t>
  </si>
  <si>
    <t>Formate production rate</t>
  </si>
  <si>
    <t>RF02</t>
  </si>
  <si>
    <t>Series ID</t>
  </si>
  <si>
    <t>1*</t>
  </si>
  <si>
    <t>RFs</t>
  </si>
  <si>
    <t>WT(Mar)</t>
  </si>
  <si>
    <t>SD</t>
  </si>
  <si>
    <t>CV</t>
  </si>
  <si>
    <t>Glyoxylate</t>
  </si>
  <si>
    <t>Propionate</t>
  </si>
  <si>
    <t>Glycolate</t>
  </si>
  <si>
    <t>Crotonate</t>
  </si>
  <si>
    <t>Butanoate</t>
  </si>
  <si>
    <t>Oxamate</t>
  </si>
  <si>
    <t>b-Hydroxypropionate</t>
  </si>
  <si>
    <t>Lactate</t>
  </si>
  <si>
    <t>Methanesulfonate</t>
  </si>
  <si>
    <t>Tiglate</t>
  </si>
  <si>
    <t>3-Methylbutanoate</t>
  </si>
  <si>
    <t>Pentanoate</t>
  </si>
  <si>
    <t>Malonate</t>
  </si>
  <si>
    <t>a-Hydroxybutanoate + b-Hydroxybutanoate</t>
  </si>
  <si>
    <t>a-Hydroxybutanoate</t>
  </si>
  <si>
    <t>a-Hydroxyisobutanoate</t>
  </si>
  <si>
    <t>(Methylthio)acetate</t>
  </si>
  <si>
    <t>Glycerate</t>
  </si>
  <si>
    <t>Pyrrole-2-carboxylate</t>
  </si>
  <si>
    <t>2-Furoate</t>
  </si>
  <si>
    <t>3-Acetylacrylate</t>
  </si>
  <si>
    <t>Nicotinate</t>
  </si>
  <si>
    <t>1-Aminoethylphosphonate</t>
  </si>
  <si>
    <t>2-Aminoethylphosphonate</t>
  </si>
  <si>
    <t>Cyclohexanecarboxylate</t>
  </si>
  <si>
    <t>Itaconate</t>
  </si>
  <si>
    <t>4-Methyl-2-oxopentanoate</t>
  </si>
  <si>
    <t>N-Acetyl-b-alanine</t>
  </si>
  <si>
    <t>Glutarate</t>
  </si>
  <si>
    <t>3-Ureido propionate</t>
  </si>
  <si>
    <t>2-Hydroxy-4-methylpentanoate</t>
  </si>
  <si>
    <t>6-Hydroxyhexanoate</t>
  </si>
  <si>
    <t>Aspartate</t>
  </si>
  <si>
    <t>Threonate</t>
  </si>
  <si>
    <t>p-Hydroxybenzoate + m-Hydroxybenzoate</t>
  </si>
  <si>
    <t>p-hydroxybenzoate</t>
  </si>
  <si>
    <t>m-hydroxybenzoate</t>
  </si>
  <si>
    <t>Phosphonoacetate</t>
  </si>
  <si>
    <t>Ethanolamine phosphate</t>
  </si>
  <si>
    <t>2-Thiopheneacetate</t>
  </si>
  <si>
    <t>cis,cis-Muconate</t>
  </si>
  <si>
    <t>Adipate</t>
  </si>
  <si>
    <t>4-Methylthio-2-oxobutanoate</t>
  </si>
  <si>
    <t>Citramalate</t>
  </si>
  <si>
    <t>Tartarate</t>
  </si>
  <si>
    <t>2-Carboxybenzaldehyde</t>
  </si>
  <si>
    <t>Benzoylformate</t>
  </si>
  <si>
    <t>N-Methylanthranilate</t>
  </si>
  <si>
    <t>p-Hydroxyphenylacetate</t>
  </si>
  <si>
    <t>Mandelate</t>
  </si>
  <si>
    <t>Cysteine sulfinate</t>
  </si>
  <si>
    <t>2,5-Dihydroxybenzoate</t>
  </si>
  <si>
    <t>2,4-Dihydroxypyrimidine-5-carboxylate</t>
  </si>
  <si>
    <t>Dihydroorotate</t>
  </si>
  <si>
    <t>2-Oxooctanoate</t>
  </si>
  <si>
    <t>Nonanoate</t>
  </si>
  <si>
    <t>2-Oxoadipate</t>
  </si>
  <si>
    <t>Pimelate</t>
  </si>
  <si>
    <t>8-Hydroxyoctanoate</t>
  </si>
  <si>
    <t>2-Hydroxyoctanoate</t>
  </si>
  <si>
    <t>N-Formylaspartate</t>
  </si>
  <si>
    <t>3-Hydroxy-3-methylglutarate</t>
  </si>
  <si>
    <t>p-Coumarate</t>
  </si>
  <si>
    <t>Cumate</t>
  </si>
  <si>
    <t>Phthalate</t>
  </si>
  <si>
    <t>Terephthalate</t>
  </si>
  <si>
    <t>3-Phenyllactate</t>
  </si>
  <si>
    <t>3-(2-Hydroxyphenyl)propionate</t>
  </si>
  <si>
    <t>Phloretate</t>
  </si>
  <si>
    <t>4-Hydroxymandelate</t>
  </si>
  <si>
    <t>4-Hydroxy-3-methoxybenzoate</t>
  </si>
  <si>
    <t>Cysteate</t>
  </si>
  <si>
    <t>2-Amino-3-phosphonopropionate</t>
  </si>
  <si>
    <t>Sulfanilate</t>
  </si>
  <si>
    <t>2-Quinolinecarboxylate</t>
  </si>
  <si>
    <t>N-Acetylleucine</t>
  </si>
  <si>
    <t>trans-Aconitate</t>
  </si>
  <si>
    <t>Allantoate</t>
  </si>
  <si>
    <t>2-Isopropylmalate</t>
  </si>
  <si>
    <t>N-Formylmethionine</t>
  </si>
  <si>
    <t>S-Carboxymethylcysteine</t>
  </si>
  <si>
    <t>Hippurate</t>
  </si>
  <si>
    <t>Homovanillate</t>
  </si>
  <si>
    <t>Chelidonate</t>
  </si>
  <si>
    <t>Serine O-sulfate</t>
  </si>
  <si>
    <t>O-Phosphoserine</t>
  </si>
  <si>
    <t>Undecanoate</t>
  </si>
  <si>
    <t>10-Hydroxydecanoate</t>
  </si>
  <si>
    <t>N-Carbamylglutamate</t>
  </si>
  <si>
    <t>N-Acetylmethionine</t>
  </si>
  <si>
    <t>Isocitrate + Citrate</t>
  </si>
  <si>
    <t>Isocitrate</t>
  </si>
  <si>
    <t>Galacturonate</t>
  </si>
  <si>
    <t>Glucuronate</t>
  </si>
  <si>
    <t>trans-4-Hydroxy-3-methoxycinnamate</t>
  </si>
  <si>
    <t>o-Hydroxyhippurate</t>
  </si>
  <si>
    <t>Gluconate</t>
  </si>
  <si>
    <t>Syringate</t>
  </si>
  <si>
    <t>4-Hydroxy-3-methoxymandelate</t>
  </si>
  <si>
    <t>Erythrose 4-phosphate</t>
  </si>
  <si>
    <t>Cysteine S-sulfate</t>
  </si>
  <si>
    <t>4-Sulfobenzoate</t>
  </si>
  <si>
    <t>3-Indolebutanoate</t>
  </si>
  <si>
    <t>Xanthurenate</t>
  </si>
  <si>
    <t>Etidronate</t>
  </si>
  <si>
    <t>6,8-Thioctate</t>
  </si>
  <si>
    <t>N-Acetylphenylalanine</t>
  </si>
  <si>
    <t>N-Benzyloxycarbonylglycine</t>
  </si>
  <si>
    <t>Saccharate</t>
  </si>
  <si>
    <t>Mucate</t>
  </si>
  <si>
    <t>3-Indoxyl sulfate</t>
  </si>
  <si>
    <t>4-Nitrophenyl phosphate</t>
  </si>
  <si>
    <t>Sinapate</t>
  </si>
  <si>
    <t>Porphobilinogen</t>
  </si>
  <si>
    <t>3,5-Dinitrosalicylate</t>
  </si>
  <si>
    <t>N-a-t-boc-asparagine</t>
  </si>
  <si>
    <t>Biotin</t>
  </si>
  <si>
    <t>N-Acetyl muramate</t>
  </si>
  <si>
    <t>8-Anilino-1-naphthalene sulfonate</t>
  </si>
  <si>
    <t>N-Acetylgalactosamine 6-sulfate</t>
  </si>
  <si>
    <t>N-Acetylglucosamine 6-phosphate</t>
  </si>
  <si>
    <t>N-Acetylneuraminate</t>
  </si>
  <si>
    <t>Ribulose 1,5-diphosphate</t>
  </si>
  <si>
    <t>N-Glycolylneuraminate</t>
  </si>
  <si>
    <t>Gibberellate</t>
  </si>
  <si>
    <t>ProstaglandinE2</t>
  </si>
  <si>
    <t>ProstaglandinF2a</t>
  </si>
  <si>
    <t>Orotidine 5'-monophosphate</t>
  </si>
  <si>
    <t>Digalacturonate</t>
  </si>
  <si>
    <t>5-Phosphorylribose 1-pyrophosphate</t>
  </si>
  <si>
    <t>Cholate</t>
  </si>
  <si>
    <t>Trehalose 6-phosphate</t>
  </si>
  <si>
    <t>Folate</t>
  </si>
  <si>
    <t>Adenylosuccinate</t>
  </si>
  <si>
    <t>Glycocholate</t>
  </si>
  <si>
    <t>Glycyrrhetinate</t>
  </si>
  <si>
    <t>Taurolithocholate</t>
  </si>
  <si>
    <t>Taurodeoxycholate + Taurochenodeoxycholate</t>
  </si>
  <si>
    <t>Taurodeoxycholate</t>
  </si>
  <si>
    <t>Taurochenodeoxycholate</t>
  </si>
  <si>
    <t>Taurocholate</t>
  </si>
  <si>
    <t>Phosphoramidon</t>
  </si>
  <si>
    <t>3-Aminopropionitrile</t>
  </si>
  <si>
    <t>Methylguanidine</t>
  </si>
  <si>
    <t>1,3-Diaminopropane</t>
  </si>
  <si>
    <t>Acetohydroxamate</t>
  </si>
  <si>
    <t>Hydroxyurea</t>
  </si>
  <si>
    <t>Trimethylsulfonium</t>
  </si>
  <si>
    <t>Cysteamine</t>
  </si>
  <si>
    <t>Pyrimidine</t>
  </si>
  <si>
    <t>4-Methylpyrazole</t>
  </si>
  <si>
    <t>3-Amino-1,2,4-triazole</t>
  </si>
  <si>
    <t>Piperazine</t>
  </si>
  <si>
    <t>Sarcosine</t>
  </si>
  <si>
    <t>2-Hydroxypyridine</t>
  </si>
  <si>
    <t>4-Hydroxymethylimidazole</t>
  </si>
  <si>
    <t>Succinimide</t>
  </si>
  <si>
    <t>1-Methyl-2-pyrrolidone</t>
  </si>
  <si>
    <t>Azetidine-2-carboxylate</t>
  </si>
  <si>
    <t>1-Aminocyclopropane-1-carboxylate</t>
  </si>
  <si>
    <t>Acetoacetamide</t>
  </si>
  <si>
    <t>Betaine aldehyde</t>
  </si>
  <si>
    <t>Hexylamine</t>
  </si>
  <si>
    <t>1,5-Diaminopentane</t>
  </si>
  <si>
    <t>2-Cyanopyridine</t>
  </si>
  <si>
    <t>2,3-Diaminopropionate</t>
  </si>
  <si>
    <t>2-Amino-2-methyl-1,3-propanediol</t>
  </si>
  <si>
    <t>N-Methylaniline</t>
  </si>
  <si>
    <t>Phenylhydrazine</t>
  </si>
  <si>
    <t>Hypotaurine</t>
  </si>
  <si>
    <t>2-Aminophenol</t>
  </si>
  <si>
    <t>Histamine</t>
  </si>
  <si>
    <t>Uracil</t>
  </si>
  <si>
    <t>beta-Cyanoalanine</t>
  </si>
  <si>
    <t>Muscimol</t>
  </si>
  <si>
    <t>Dihydrouracil</t>
  </si>
  <si>
    <t>Guanidoacetate</t>
  </si>
  <si>
    <t>5-Aminopentanoate</t>
  </si>
  <si>
    <t>Betaine</t>
  </si>
  <si>
    <t>4-Amino-3-hydroxybutyrate</t>
  </si>
  <si>
    <t>alpha-Methylserine</t>
  </si>
  <si>
    <t>Purine</t>
  </si>
  <si>
    <t>Benzamidine</t>
  </si>
  <si>
    <t>Cys</t>
  </si>
  <si>
    <t>Benzamide</t>
  </si>
  <si>
    <t>N,N-Dimethylaniline+Phenethylamine</t>
  </si>
  <si>
    <t>Phenethylamine</t>
  </si>
  <si>
    <t>N,N-Dimethylaniline</t>
  </si>
  <si>
    <t>alpha-Methylbenzylamine</t>
  </si>
  <si>
    <t>2,6-Dimethylaniline</t>
  </si>
  <si>
    <t>2,4-Dimethylaniline</t>
  </si>
  <si>
    <t>Picolinamide</t>
  </si>
  <si>
    <t>Isonicotinamide</t>
  </si>
  <si>
    <t>3-Chloroalanine</t>
  </si>
  <si>
    <t>Taurine</t>
  </si>
  <si>
    <t>Imidazole-4-acetate</t>
  </si>
  <si>
    <t>Barbiturate</t>
  </si>
  <si>
    <t>Isoquinoline</t>
  </si>
  <si>
    <t>Quinoline</t>
  </si>
  <si>
    <t>1-Amino-1-cyclopentanecarboxylate</t>
  </si>
  <si>
    <t>Metformin</t>
  </si>
  <si>
    <t>5-Aminolevulinate</t>
  </si>
  <si>
    <t>6-Aminohexanoate</t>
  </si>
  <si>
    <t>Bis(3-aminopropyl)amine</t>
  </si>
  <si>
    <t>Gly-Gly</t>
  </si>
  <si>
    <t>4-Aminoindole+5-Aminoindole</t>
  </si>
  <si>
    <t>5-Aminoindole</t>
  </si>
  <si>
    <t>4-Aminoindole</t>
  </si>
  <si>
    <t>4-Hydroxyindole</t>
  </si>
  <si>
    <t>2-Aminobenzimidazole</t>
  </si>
  <si>
    <t>Homocysteine</t>
  </si>
  <si>
    <t>1-Methylnicotinamide</t>
  </si>
  <si>
    <t>p-Aminobenzoate</t>
  </si>
  <si>
    <t>Isonicotinate hydrazide</t>
  </si>
  <si>
    <t>beta-Hydroxyphenethylamine</t>
  </si>
  <si>
    <t>6-Hydroxynicotinate</t>
  </si>
  <si>
    <t>Hexamethylene tetramine</t>
  </si>
  <si>
    <t>Ectoine</t>
  </si>
  <si>
    <t>4-Methyl-5-thiazoleethanol</t>
  </si>
  <si>
    <t>Trientine</t>
  </si>
  <si>
    <t>Isatin</t>
  </si>
  <si>
    <t>Albizziine</t>
  </si>
  <si>
    <t>Nornicotine</t>
  </si>
  <si>
    <t>threo-beta-Hydroxyaspartate</t>
  </si>
  <si>
    <t>3-Methyladenine</t>
  </si>
  <si>
    <t>1-Methyladenine</t>
  </si>
  <si>
    <t>6-Methylaminopurine</t>
  </si>
  <si>
    <t>2,6-Diethylaniline</t>
  </si>
  <si>
    <t>3-Hydroxyanthranilate</t>
  </si>
  <si>
    <t>Dopamine</t>
  </si>
  <si>
    <t>beta-Imidazolelactate</t>
  </si>
  <si>
    <t>3-Indoleacetonitrile</t>
  </si>
  <si>
    <t>Ibotenate</t>
  </si>
  <si>
    <t>Allantoin</t>
  </si>
  <si>
    <t>Indole-3-acetaldehyde</t>
  </si>
  <si>
    <t>N-Methyl-N-propagylbenzylamine</t>
  </si>
  <si>
    <t>Tryptamine</t>
  </si>
  <si>
    <t>N-Methylglutamate</t>
  </si>
  <si>
    <t>Indole-3-ethanol</t>
  </si>
  <si>
    <t>2-Deoxystreptamine</t>
  </si>
  <si>
    <t>5-Hydroxylysine</t>
  </si>
  <si>
    <t>Nicotine</t>
  </si>
  <si>
    <t>Lumazine</t>
  </si>
  <si>
    <t>7-Methylguanine</t>
  </si>
  <si>
    <t>3-Methylguanine</t>
  </si>
  <si>
    <t>Pyridoxal</t>
  </si>
  <si>
    <t>Synephrine</t>
  </si>
  <si>
    <t>Pyridoxamine</t>
  </si>
  <si>
    <t>Noradrenaline</t>
  </si>
  <si>
    <t>3-Methylhistidine</t>
  </si>
  <si>
    <t>Diphenylamine</t>
  </si>
  <si>
    <t>Deisopropylatrazine</t>
  </si>
  <si>
    <t>Indole-3-acetamide</t>
  </si>
  <si>
    <t>N-Ethylglutamine</t>
  </si>
  <si>
    <t>Nomega-Methyltryptamine</t>
  </si>
  <si>
    <t>Gramine</t>
  </si>
  <si>
    <t>Indole-3-acetate</t>
  </si>
  <si>
    <t>Guanidinosuccinate</t>
  </si>
  <si>
    <t>Canavanine</t>
  </si>
  <si>
    <t>Serotonin</t>
  </si>
  <si>
    <t>Alliin</t>
  </si>
  <si>
    <t>Xanthopterin</t>
  </si>
  <si>
    <t>Mannosamine</t>
  </si>
  <si>
    <t>Fsarate</t>
  </si>
  <si>
    <t>Methionine sulfoximine</t>
  </si>
  <si>
    <t>o-Phenanthroline</t>
  </si>
  <si>
    <t>3-Amino-3-(4-hydroxyphenyl)propionate</t>
  </si>
  <si>
    <t>Harman</t>
  </si>
  <si>
    <t>Eflornithine</t>
  </si>
  <si>
    <t>Epinephrine</t>
  </si>
  <si>
    <t>Nalpha,Nalpha-Dimethylhistidine</t>
  </si>
  <si>
    <t>Phosphorylcholine</t>
  </si>
  <si>
    <t>Desethylatrazine</t>
  </si>
  <si>
    <t>Nepsilon-Acetyllysine</t>
  </si>
  <si>
    <t>Homoarginine</t>
  </si>
  <si>
    <t>Quisqualate</t>
  </si>
  <si>
    <t>5-Methoxytryptamine</t>
  </si>
  <si>
    <t>5-Hydroxy-3-indoleaceacetate</t>
  </si>
  <si>
    <t>Diethyl-2-phenylacetamide</t>
  </si>
  <si>
    <t>Glucosaminate</t>
  </si>
  <si>
    <t>Tyrosine methyl ester</t>
  </si>
  <si>
    <t>DOPA</t>
  </si>
  <si>
    <t>O-Acetylcarnitine</t>
  </si>
  <si>
    <t>Tryptophanamide</t>
  </si>
  <si>
    <t>Kynurenine</t>
  </si>
  <si>
    <t>Phosphocreatine</t>
  </si>
  <si>
    <t>Desthiobiotin</t>
  </si>
  <si>
    <t>6-Aminopenicillanate</t>
  </si>
  <si>
    <t>beta-Ala-Lys</t>
  </si>
  <si>
    <t>5-Methoxy-N,N-dimethyltryptamine</t>
  </si>
  <si>
    <t>O-Succinylhomoserine</t>
  </si>
  <si>
    <t>trans-Zeatin</t>
  </si>
  <si>
    <t>5-Hydroxytryptophan</t>
  </si>
  <si>
    <t>2-Acetamido-1-amino-1,2-dideoxyglucopyranose</t>
  </si>
  <si>
    <t>Dihydrozeatine</t>
  </si>
  <si>
    <t>Cystathionine</t>
  </si>
  <si>
    <t>3-Hydroxykynurenine</t>
  </si>
  <si>
    <t>2'-Deoxycytidine</t>
  </si>
  <si>
    <t>2'-Deoxyuridine</t>
  </si>
  <si>
    <t>Melatonin</t>
  </si>
  <si>
    <t>Sepiapterin</t>
  </si>
  <si>
    <t>7,8-Dihydrobiopterin</t>
  </si>
  <si>
    <t>Anserine+Homocarnosine</t>
  </si>
  <si>
    <t>Homocarnosine</t>
  </si>
  <si>
    <t>Anserine</t>
  </si>
  <si>
    <t>5-Methyl-2'-deoxycytidine</t>
  </si>
  <si>
    <t>1,5-Diphenylcarbohydrazide</t>
  </si>
  <si>
    <t>Thymidine</t>
  </si>
  <si>
    <t>Uridine</t>
  </si>
  <si>
    <t>N1-Acetylspermine</t>
  </si>
  <si>
    <t>Octopine</t>
  </si>
  <si>
    <t>4-Aminophenylsulfone</t>
  </si>
  <si>
    <t>Muramate</t>
  </si>
  <si>
    <t>5'-Deoxyadenosine</t>
  </si>
  <si>
    <t>2'-Deoxyadenosine</t>
  </si>
  <si>
    <t>Purine riboside</t>
  </si>
  <si>
    <t>Phosphoarginine</t>
  </si>
  <si>
    <t>7,8-Dihydroneopterin</t>
  </si>
  <si>
    <t>Glycerophosphorylcholine</t>
  </si>
  <si>
    <t>Thiamine</t>
  </si>
  <si>
    <t>4,4'-Methylene bis(o-chloroaniline)</t>
  </si>
  <si>
    <t>2'-Deoxyguanosine</t>
  </si>
  <si>
    <t>Homocystine</t>
  </si>
  <si>
    <t>Xanthosine</t>
  </si>
  <si>
    <t>Z-Gly-Pro</t>
  </si>
  <si>
    <t>3-Iodotyrosine</t>
  </si>
  <si>
    <t>Neamine</t>
  </si>
  <si>
    <t>Benzyl viologen</t>
  </si>
  <si>
    <t>Thiamine monophosphate</t>
  </si>
  <si>
    <t>Riboflavin</t>
  </si>
  <si>
    <t>S-Adenosylhomocysteine</t>
  </si>
  <si>
    <t>Leupeptin hemisulfate</t>
  </si>
  <si>
    <t>3,5-Diiodo-tyrosine</t>
  </si>
  <si>
    <t>5-Methyltetrahydrofolate</t>
  </si>
  <si>
    <t>Psychosine</t>
  </si>
  <si>
    <t>3,3',5-Triiodothyronine</t>
  </si>
  <si>
    <t>iso-Citrate</t>
  </si>
  <si>
    <t>Divalent ion from ppGpp</t>
  </si>
  <si>
    <t>cTMP</t>
  </si>
  <si>
    <t>cCMP</t>
  </si>
  <si>
    <t>XMP</t>
  </si>
  <si>
    <t>ppGpp</t>
  </si>
  <si>
    <t>Malonyl CoA</t>
  </si>
  <si>
    <t>gpmG</t>
  </si>
  <si>
    <t>lldD</t>
  </si>
  <si>
    <t>poxB</t>
  </si>
  <si>
    <t>Reactions  (mmol/gdcw/h)</t>
  </si>
  <si>
    <t>pts</t>
  </si>
  <si>
    <t xml:space="preserve"> pgi</t>
  </si>
  <si>
    <t>pfk</t>
  </si>
  <si>
    <t>fba</t>
  </si>
  <si>
    <t>tpi</t>
  </si>
  <si>
    <t>gap</t>
  </si>
  <si>
    <t>gpm</t>
  </si>
  <si>
    <t>g6p cons</t>
  </si>
  <si>
    <t>F6p cons</t>
  </si>
  <si>
    <t>g3p cons</t>
  </si>
  <si>
    <t>pep cons</t>
  </si>
  <si>
    <t>3pg cons</t>
  </si>
  <si>
    <t>2pg</t>
  </si>
  <si>
    <t>3pg</t>
  </si>
  <si>
    <t>dhap</t>
  </si>
  <si>
    <t>f6p</t>
  </si>
  <si>
    <t>g3p</t>
  </si>
  <si>
    <t>g6p</t>
  </si>
  <si>
    <t>pep</t>
  </si>
  <si>
    <t>pgp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</si>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</sst>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HG PゴシックB Sun"/>
    </font>
    <font>
      <sz val="10"/>
      <color rgb="FF000000"/>
      <name val="Arial"/>
      <family val="2"/>
    </font>
    <font>
      <sz val="10"/>
      <color rgb="FF000000"/>
      <name val="HG PゴシックB Sun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DF3F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EDF3FE"/>
        <bgColor rgb="FF000000"/>
      </patternFill>
    </fill>
    <fill>
      <patternFill patternType="solid">
        <fgColor rgb="FFFF00FF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medium">
        <color rgb="FFCCCCCC"/>
      </right>
      <top style="medium">
        <color rgb="FF888888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888888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888888"/>
      </left>
      <right style="medium">
        <color rgb="FFCCCCCC"/>
      </right>
      <top style="medium">
        <color rgb="FF888888"/>
      </top>
      <bottom style="thin">
        <color rgb="FF000000"/>
      </bottom>
      <diagonal/>
    </border>
    <border>
      <left style="thin">
        <color rgb="FF000000"/>
      </left>
      <right style="medium">
        <color rgb="FF888888"/>
      </right>
      <top style="medium">
        <color rgb="FF888888"/>
      </top>
      <bottom style="thin">
        <color rgb="FF000000"/>
      </bottom>
      <diagonal/>
    </border>
    <border>
      <left style="medium">
        <color rgb="FF888888"/>
      </left>
      <right style="medium">
        <color rgb="FFCCCCCC"/>
      </right>
      <top/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/>
      <bottom style="thin">
        <color rgb="FF000000"/>
      </bottom>
      <diagonal/>
    </border>
    <border>
      <left style="thin">
        <color rgb="FF000000"/>
      </left>
      <right style="medium">
        <color rgb="FF888888"/>
      </right>
      <top/>
      <bottom style="thin">
        <color rgb="FF000000"/>
      </bottom>
      <diagonal/>
    </border>
    <border>
      <left style="medium">
        <color rgb="FF888888"/>
      </left>
      <right style="medium">
        <color rgb="FFCCCCCC"/>
      </right>
      <top/>
      <bottom style="medium">
        <color rgb="FF888888"/>
      </bottom>
      <diagonal/>
    </border>
    <border>
      <left style="thin">
        <color rgb="FF000000"/>
      </left>
      <right style="medium">
        <color rgb="FFCCCCCC"/>
      </right>
      <top/>
      <bottom style="medium">
        <color rgb="FF888888"/>
      </bottom>
      <diagonal/>
    </border>
    <border>
      <left style="thin">
        <color rgb="FF000000"/>
      </left>
      <right style="medium">
        <color rgb="FF888888"/>
      </right>
      <top/>
      <bottom style="medium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CCCCCC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 style="thin">
        <color rgb="FF000000"/>
      </left>
      <right style="medium">
        <color rgb="FF888888"/>
      </right>
      <top style="thin">
        <color rgb="FF000000"/>
      </top>
      <bottom style="thin">
        <color rgb="FF000000"/>
      </bottom>
      <diagonal/>
    </border>
    <border>
      <left style="medium">
        <color rgb="FF888888"/>
      </left>
      <right style="medium">
        <color rgb="FFCCCCCC"/>
      </right>
      <top style="thin">
        <color rgb="FF000000"/>
      </top>
      <bottom style="medium">
        <color rgb="FF888888"/>
      </bottom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medium">
        <color rgb="FF888888"/>
      </bottom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 style="thin">
        <color rgb="FF000000"/>
      </left>
      <right style="medium">
        <color rgb="FF888888"/>
      </right>
      <top style="thin">
        <color rgb="FF000000"/>
      </top>
      <bottom style="medium">
        <color rgb="FF88888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11" fontId="1" fillId="4" borderId="2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11" fontId="1" fillId="0" borderId="2" xfId="0" applyNumberFormat="1" applyFont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3" fillId="9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left" vertical="center" wrapText="1"/>
    </xf>
    <xf numFmtId="11" fontId="3" fillId="10" borderId="7" xfId="0" applyNumberFormat="1" applyFont="1" applyFill="1" applyBorder="1" applyAlignment="1">
      <alignment horizontal="right" vertical="center" wrapText="1"/>
    </xf>
    <xf numFmtId="0" fontId="4" fillId="10" borderId="7" xfId="0" applyFont="1" applyFill="1" applyBorder="1" applyAlignment="1">
      <alignment horizontal="left" vertical="center" wrapText="1"/>
    </xf>
    <xf numFmtId="11" fontId="3" fillId="10" borderId="8" xfId="0" applyNumberFormat="1" applyFont="1" applyFill="1" applyBorder="1" applyAlignment="1">
      <alignment horizontal="right" vertical="center" wrapText="1"/>
    </xf>
    <xf numFmtId="11" fontId="3" fillId="0" borderId="7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/>
    </xf>
    <xf numFmtId="11" fontId="3" fillId="0" borderId="8" xfId="0" applyNumberFormat="1" applyFont="1" applyBorder="1" applyAlignment="1">
      <alignment horizontal="right" vertical="center" wrapText="1"/>
    </xf>
    <xf numFmtId="0" fontId="3" fillId="9" borderId="9" xfId="0" applyFont="1" applyFill="1" applyBorder="1" applyAlignment="1">
      <alignment horizontal="left" vertical="center" wrapText="1"/>
    </xf>
    <xf numFmtId="11" fontId="3" fillId="0" borderId="10" xfId="0" applyNumberFormat="1" applyFont="1" applyBorder="1" applyAlignment="1">
      <alignment horizontal="right" vertical="center" wrapText="1"/>
    </xf>
    <xf numFmtId="0" fontId="4" fillId="0" borderId="10" xfId="0" applyFont="1" applyBorder="1" applyAlignment="1">
      <alignment horizontal="left" vertical="center" wrapText="1"/>
    </xf>
    <xf numFmtId="11" fontId="3" fillId="0" borderId="11" xfId="0" applyNumberFormat="1" applyFont="1" applyBorder="1" applyAlignment="1">
      <alignment horizontal="righ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2" fillId="0" borderId="2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left" vertical="center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3" borderId="16" xfId="0" applyFont="1" applyFill="1" applyBorder="1" applyAlignment="1">
      <alignment horizontal="left" vertical="center"/>
    </xf>
    <xf numFmtId="2" fontId="1" fillId="4" borderId="21" xfId="0" applyNumberFormat="1" applyFont="1" applyFill="1" applyBorder="1" applyAlignment="1">
      <alignment horizontal="center" vertical="center" wrapText="1"/>
    </xf>
    <xf numFmtId="2" fontId="1" fillId="4" borderId="22" xfId="0" applyNumberFormat="1" applyFont="1" applyFill="1" applyBorder="1" applyAlignment="1">
      <alignment horizontal="center" vertical="center" wrapText="1"/>
    </xf>
    <xf numFmtId="2" fontId="1" fillId="4" borderId="15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right" vertical="center"/>
    </xf>
    <xf numFmtId="0" fontId="1" fillId="2" borderId="23" xfId="0" applyFont="1" applyFill="1" applyBorder="1" applyAlignment="1">
      <alignment vertical="center"/>
    </xf>
    <xf numFmtId="0" fontId="1" fillId="3" borderId="25" xfId="0" applyFont="1" applyFill="1" applyBorder="1" applyAlignment="1">
      <alignment horizontal="left" vertical="center"/>
    </xf>
    <xf numFmtId="0" fontId="1" fillId="4" borderId="26" xfId="0" applyFont="1" applyFill="1" applyBorder="1" applyAlignment="1">
      <alignment horizontal="left" vertical="center"/>
    </xf>
    <xf numFmtId="0" fontId="1" fillId="4" borderId="20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1" fillId="4" borderId="13" xfId="0" applyFont="1" applyFill="1" applyBorder="1" applyAlignment="1">
      <alignment horizontal="right" vertical="center" wrapText="1"/>
    </xf>
    <xf numFmtId="0" fontId="1" fillId="0" borderId="26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21" xfId="0" applyFont="1" applyBorder="1" applyAlignment="1">
      <alignment horizontal="right" vertical="center" wrapText="1"/>
    </xf>
    <xf numFmtId="0" fontId="1" fillId="0" borderId="22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0" borderId="3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2" fillId="11" borderId="3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1" fillId="3" borderId="31" xfId="0" applyFont="1" applyFill="1" applyBorder="1" applyAlignment="1">
      <alignment horizontal="left" vertical="center" wrapText="1"/>
    </xf>
    <xf numFmtId="0" fontId="2" fillId="4" borderId="31" xfId="0" applyFont="1" applyFill="1" applyBorder="1" applyAlignment="1">
      <alignment horizontal="left" vertical="center" wrapText="1"/>
    </xf>
    <xf numFmtId="11" fontId="1" fillId="0" borderId="31" xfId="0" applyNumberFormat="1" applyFont="1" applyBorder="1" applyAlignment="1">
      <alignment horizontal="right" vertical="center" wrapText="1"/>
    </xf>
    <xf numFmtId="11" fontId="1" fillId="4" borderId="31" xfId="0" applyNumberFormat="1" applyFont="1" applyFill="1" applyBorder="1" applyAlignment="1">
      <alignment horizontal="right" vertical="center" wrapText="1"/>
    </xf>
    <xf numFmtId="11" fontId="0" fillId="0" borderId="0" xfId="0" applyNumberFormat="1"/>
    <xf numFmtId="0" fontId="1" fillId="7" borderId="32" xfId="0" applyFont="1" applyFill="1" applyBorder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11" fontId="1" fillId="0" borderId="33" xfId="0" applyNumberFormat="1" applyFont="1" applyBorder="1" applyAlignment="1">
      <alignment horizontal="right" vertical="center" wrapText="1"/>
    </xf>
    <xf numFmtId="0" fontId="0" fillId="0" borderId="34" xfId="0" applyBorder="1"/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left" vertical="center" wrapText="1"/>
    </xf>
    <xf numFmtId="11" fontId="1" fillId="4" borderId="33" xfId="0" applyNumberFormat="1" applyFont="1" applyFill="1" applyBorder="1" applyAlignment="1">
      <alignment horizontal="right" vertical="center" wrapText="1"/>
    </xf>
    <xf numFmtId="0" fontId="2" fillId="4" borderId="33" xfId="0" applyFont="1" applyFill="1" applyBorder="1" applyAlignment="1">
      <alignment horizontal="left" vertical="center" wrapText="1"/>
    </xf>
    <xf numFmtId="11" fontId="1" fillId="4" borderId="35" xfId="0" applyNumberFormat="1" applyFont="1" applyFill="1" applyBorder="1" applyAlignment="1">
      <alignment horizontal="right" vertical="center" wrapText="1"/>
    </xf>
    <xf numFmtId="0" fontId="5" fillId="0" borderId="0" xfId="0" applyFont="1"/>
    <xf numFmtId="11" fontId="5" fillId="0" borderId="0" xfId="0" applyNumberFormat="1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left" vertical="center"/>
    </xf>
    <xf numFmtId="2" fontId="0" fillId="0" borderId="0" xfId="0" applyNumberFormat="1"/>
    <xf numFmtId="0" fontId="1" fillId="2" borderId="12" xfId="0" applyFont="1" applyFill="1" applyBorder="1" applyAlignment="1">
      <alignment horizontal="left" vertical="center" wrapText="1"/>
    </xf>
    <xf numFmtId="2" fontId="1" fillId="4" borderId="12" xfId="0" applyNumberFormat="1" applyFont="1" applyFill="1" applyBorder="1" applyAlignment="1">
      <alignment horizontal="center" vertical="center" wrapText="1"/>
    </xf>
    <xf numFmtId="2" fontId="0" fillId="0" borderId="12" xfId="0" applyNumberFormat="1" applyBorder="1"/>
    <xf numFmtId="0" fontId="0" fillId="0" borderId="12" xfId="0" applyBorder="1"/>
    <xf numFmtId="0" fontId="1" fillId="2" borderId="3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26AF-983E-6A4B-9F8D-E92FCEAB83B4}">
  <dimension ref="A1:CA1416"/>
  <sheetViews>
    <sheetView workbookViewId="0">
      <selection sqref="A1:XFD1048576"/>
    </sheetView>
  </sheetViews>
  <sheetFormatPr baseColWidth="10" defaultColWidth="8.83203125" defaultRowHeight="16"/>
  <cols>
    <col min="1" max="1" width="9.6640625" bestFit="1" customWidth="1"/>
  </cols>
  <sheetData>
    <row r="1" spans="1:79">
      <c r="A1" s="85" t="s">
        <v>103</v>
      </c>
      <c r="B1" s="86" t="s">
        <v>0</v>
      </c>
      <c r="C1" s="87"/>
      <c r="D1" s="86" t="s">
        <v>66</v>
      </c>
      <c r="E1" s="87"/>
      <c r="F1" s="86" t="s">
        <v>67</v>
      </c>
      <c r="G1" s="87"/>
      <c r="H1" s="86" t="s">
        <v>68</v>
      </c>
      <c r="I1" s="87"/>
      <c r="J1" s="86" t="s">
        <v>387</v>
      </c>
      <c r="K1" s="87"/>
      <c r="L1" s="86" t="s">
        <v>69</v>
      </c>
      <c r="M1" s="87"/>
      <c r="N1" s="86" t="s">
        <v>70</v>
      </c>
      <c r="O1" s="87"/>
      <c r="P1" s="86" t="s">
        <v>71</v>
      </c>
      <c r="Q1" s="87"/>
      <c r="R1" s="86" t="s">
        <v>72</v>
      </c>
      <c r="S1" s="87"/>
      <c r="T1" s="86" t="s">
        <v>73</v>
      </c>
      <c r="U1" s="87"/>
      <c r="V1" s="86" t="s">
        <v>74</v>
      </c>
      <c r="W1" s="87"/>
      <c r="X1" s="86" t="s">
        <v>75</v>
      </c>
      <c r="Y1" s="87"/>
      <c r="Z1" s="86" t="s">
        <v>76</v>
      </c>
      <c r="AA1" s="87"/>
      <c r="AB1" s="86" t="s">
        <v>77</v>
      </c>
      <c r="AC1" s="87"/>
      <c r="AD1" s="86" t="s">
        <v>78</v>
      </c>
      <c r="AE1" s="87"/>
      <c r="AF1" s="86" t="s">
        <v>79</v>
      </c>
      <c r="AG1" s="87"/>
      <c r="AH1" s="86" t="s">
        <v>80</v>
      </c>
      <c r="AI1" s="87"/>
      <c r="AJ1" s="86" t="s">
        <v>81</v>
      </c>
      <c r="AK1" s="87"/>
      <c r="AL1" s="86" t="s">
        <v>82</v>
      </c>
      <c r="AM1" s="87"/>
      <c r="AN1" s="86" t="s">
        <v>83</v>
      </c>
      <c r="AO1" s="87"/>
      <c r="AP1" s="86" t="s">
        <v>84</v>
      </c>
      <c r="AQ1" s="87"/>
      <c r="AR1" s="86" t="s">
        <v>85</v>
      </c>
      <c r="AS1" s="87"/>
      <c r="AT1" s="86" t="s">
        <v>86</v>
      </c>
      <c r="AU1" s="87"/>
      <c r="AV1" s="86" t="s">
        <v>87</v>
      </c>
      <c r="AW1" s="87"/>
      <c r="AX1" s="86" t="s">
        <v>88</v>
      </c>
      <c r="AY1" s="87"/>
      <c r="AZ1" s="88"/>
      <c r="BA1" s="86" t="s">
        <v>93</v>
      </c>
      <c r="BB1" s="87"/>
      <c r="BC1" s="86" t="s">
        <v>94</v>
      </c>
      <c r="BD1" s="87"/>
      <c r="BE1" s="86" t="s">
        <v>95</v>
      </c>
      <c r="BF1" s="87"/>
      <c r="BG1" s="86" t="s">
        <v>96</v>
      </c>
      <c r="BH1" s="87"/>
      <c r="BI1" s="86" t="s">
        <v>388</v>
      </c>
      <c r="BJ1" s="87"/>
      <c r="BK1" s="88"/>
      <c r="BL1" s="86" t="s">
        <v>411</v>
      </c>
      <c r="BM1" s="87"/>
      <c r="BN1" s="86" t="s">
        <v>101</v>
      </c>
      <c r="BO1" s="87"/>
      <c r="BP1" s="86" t="s">
        <v>101</v>
      </c>
      <c r="BQ1" s="87"/>
      <c r="BR1" s="86" t="s">
        <v>101</v>
      </c>
      <c r="BS1" s="87"/>
      <c r="BT1" s="86" t="s">
        <v>101</v>
      </c>
      <c r="BU1" s="87"/>
      <c r="BV1" s="86" t="s">
        <v>101</v>
      </c>
      <c r="BW1" s="87"/>
      <c r="BX1" s="88"/>
      <c r="BY1" s="88"/>
      <c r="BZ1" s="88"/>
      <c r="CA1" s="89"/>
    </row>
    <row r="2" spans="1:79">
      <c r="A2" s="90" t="s">
        <v>412</v>
      </c>
      <c r="B2" s="69">
        <v>2</v>
      </c>
      <c r="C2" s="70"/>
      <c r="D2" s="69">
        <v>5</v>
      </c>
      <c r="E2" s="70"/>
      <c r="F2" s="69">
        <v>5</v>
      </c>
      <c r="G2" s="70"/>
      <c r="H2" s="69">
        <v>5</v>
      </c>
      <c r="I2" s="70"/>
      <c r="J2" s="70"/>
      <c r="K2" s="70"/>
      <c r="L2" s="69">
        <v>5</v>
      </c>
      <c r="M2" s="70"/>
      <c r="N2" s="69">
        <v>5</v>
      </c>
      <c r="O2" s="70"/>
      <c r="P2" s="69">
        <v>6</v>
      </c>
      <c r="Q2" s="70"/>
      <c r="R2" s="69">
        <v>6</v>
      </c>
      <c r="S2" s="70"/>
      <c r="T2" s="69">
        <v>6</v>
      </c>
      <c r="U2" s="70"/>
      <c r="V2" s="69">
        <v>3</v>
      </c>
      <c r="W2" s="70"/>
      <c r="X2" s="69">
        <v>3</v>
      </c>
      <c r="Y2" s="70"/>
      <c r="Z2" s="69">
        <v>2</v>
      </c>
      <c r="AA2" s="70"/>
      <c r="AB2" s="69">
        <v>2</v>
      </c>
      <c r="AC2" s="70"/>
      <c r="AD2" s="69">
        <v>2</v>
      </c>
      <c r="AE2" s="70"/>
      <c r="AF2" s="69">
        <v>3</v>
      </c>
      <c r="AG2" s="70"/>
      <c r="AH2" s="69">
        <v>6</v>
      </c>
      <c r="AI2" s="70"/>
      <c r="AJ2" s="69">
        <v>1</v>
      </c>
      <c r="AK2" s="70"/>
      <c r="AL2" s="69">
        <v>1</v>
      </c>
      <c r="AM2" s="70"/>
      <c r="AN2" s="69">
        <v>1</v>
      </c>
      <c r="AO2" s="70"/>
      <c r="AP2" s="69">
        <v>1</v>
      </c>
      <c r="AQ2" s="70"/>
      <c r="AR2" s="69">
        <v>1</v>
      </c>
      <c r="AS2" s="70"/>
      <c r="AT2" s="69">
        <v>1</v>
      </c>
      <c r="AU2" s="70"/>
      <c r="AV2" s="69">
        <v>1</v>
      </c>
      <c r="AW2" s="70"/>
      <c r="AX2" s="69">
        <v>1</v>
      </c>
      <c r="AY2" s="70"/>
      <c r="AZ2" s="3"/>
      <c r="BA2" s="69">
        <v>4</v>
      </c>
      <c r="BB2" s="70"/>
      <c r="BC2" s="69">
        <v>4</v>
      </c>
      <c r="BD2" s="70"/>
      <c r="BE2" s="69">
        <v>4</v>
      </c>
      <c r="BF2" s="70"/>
      <c r="BG2" s="69">
        <v>4</v>
      </c>
      <c r="BH2" s="70"/>
      <c r="BI2" s="70"/>
      <c r="BJ2" s="70"/>
      <c r="BK2" s="3"/>
      <c r="BL2" s="69">
        <v>1</v>
      </c>
      <c r="BM2" s="70"/>
      <c r="BN2" s="69">
        <v>2</v>
      </c>
      <c r="BO2" s="70"/>
      <c r="BP2" s="69">
        <v>3</v>
      </c>
      <c r="BQ2" s="70"/>
      <c r="BR2" s="69">
        <v>4</v>
      </c>
      <c r="BS2" s="70"/>
      <c r="BT2" s="69">
        <v>5</v>
      </c>
      <c r="BU2" s="70"/>
      <c r="BV2" s="69">
        <v>6</v>
      </c>
      <c r="BW2" s="70"/>
      <c r="BX2" s="3"/>
      <c r="BY2" s="3"/>
      <c r="BZ2" s="3"/>
      <c r="CA2" s="68"/>
    </row>
    <row r="3" spans="1:79" ht="28">
      <c r="A3" s="91"/>
      <c r="B3" s="1" t="s">
        <v>1</v>
      </c>
      <c r="C3" s="75"/>
      <c r="D3" s="1" t="s">
        <v>3</v>
      </c>
      <c r="E3" s="75"/>
      <c r="F3" s="1" t="s">
        <v>4</v>
      </c>
      <c r="G3" s="75"/>
      <c r="H3" s="1" t="s">
        <v>5</v>
      </c>
      <c r="I3" s="75"/>
      <c r="J3" s="1" t="s">
        <v>389</v>
      </c>
      <c r="K3" s="75"/>
      <c r="L3" s="1" t="s">
        <v>89</v>
      </c>
      <c r="M3" s="75"/>
      <c r="N3" s="1" t="s">
        <v>7</v>
      </c>
      <c r="O3" s="75"/>
      <c r="P3" s="1" t="s">
        <v>8</v>
      </c>
      <c r="Q3" s="75"/>
      <c r="R3" s="1" t="s">
        <v>90</v>
      </c>
      <c r="S3" s="75"/>
      <c r="T3" s="1" t="s">
        <v>91</v>
      </c>
      <c r="U3" s="75"/>
      <c r="V3" s="1" t="s">
        <v>13</v>
      </c>
      <c r="W3" s="75"/>
      <c r="X3" s="1" t="s">
        <v>92</v>
      </c>
      <c r="Y3" s="75"/>
      <c r="Z3" s="1" t="s">
        <v>15</v>
      </c>
      <c r="AA3" s="75"/>
      <c r="AB3" s="1" t="s">
        <v>16</v>
      </c>
      <c r="AC3" s="75"/>
      <c r="AD3" s="1" t="s">
        <v>17</v>
      </c>
      <c r="AE3" s="75"/>
      <c r="AF3" s="1" t="s">
        <v>18</v>
      </c>
      <c r="AG3" s="75"/>
      <c r="AH3" s="1" t="s">
        <v>19</v>
      </c>
      <c r="AI3" s="75"/>
      <c r="AJ3" s="1" t="s">
        <v>20</v>
      </c>
      <c r="AK3" s="75"/>
      <c r="AL3" s="1" t="s">
        <v>21</v>
      </c>
      <c r="AM3" s="75"/>
      <c r="AN3" s="1" t="s">
        <v>22</v>
      </c>
      <c r="AO3" s="75"/>
      <c r="AP3" s="1" t="s">
        <v>23</v>
      </c>
      <c r="AQ3" s="75"/>
      <c r="AR3" s="1" t="s">
        <v>24</v>
      </c>
      <c r="AS3" s="75"/>
      <c r="AT3" s="1" t="s">
        <v>25</v>
      </c>
      <c r="AU3" s="75"/>
      <c r="AV3" s="1" t="s">
        <v>26</v>
      </c>
      <c r="AW3" s="75"/>
      <c r="AX3" s="1" t="s">
        <v>27</v>
      </c>
      <c r="AY3" s="75"/>
      <c r="AZ3" s="5"/>
      <c r="BA3" s="1" t="s">
        <v>97</v>
      </c>
      <c r="BB3" s="75"/>
      <c r="BC3" s="1" t="s">
        <v>98</v>
      </c>
      <c r="BD3" s="75"/>
      <c r="BE3" s="1" t="s">
        <v>99</v>
      </c>
      <c r="BF3" s="75"/>
      <c r="BG3" s="1" t="s">
        <v>100</v>
      </c>
      <c r="BH3" s="75"/>
      <c r="BI3" s="75"/>
      <c r="BJ3" s="75"/>
      <c r="BK3" s="5"/>
      <c r="BL3" s="1" t="s">
        <v>415</v>
      </c>
      <c r="BM3" s="75"/>
      <c r="BN3" s="1" t="s">
        <v>102</v>
      </c>
      <c r="BO3" s="75"/>
      <c r="BP3" s="1" t="s">
        <v>102</v>
      </c>
      <c r="BQ3" s="75"/>
      <c r="BR3" s="1" t="s">
        <v>102</v>
      </c>
      <c r="BS3" s="75"/>
      <c r="BT3" s="1" t="s">
        <v>102</v>
      </c>
      <c r="BU3" s="75"/>
      <c r="BV3" s="1" t="s">
        <v>102</v>
      </c>
      <c r="BW3" s="75"/>
      <c r="BX3" s="5"/>
      <c r="BY3" s="71" t="s">
        <v>414</v>
      </c>
      <c r="BZ3" s="72"/>
      <c r="CA3" s="73"/>
    </row>
    <row r="4" spans="1:79">
      <c r="A4" s="92"/>
      <c r="B4" s="1" t="s">
        <v>2</v>
      </c>
      <c r="C4" s="1" t="s">
        <v>417</v>
      </c>
      <c r="D4" s="1" t="s">
        <v>2</v>
      </c>
      <c r="E4" s="1" t="s">
        <v>417</v>
      </c>
      <c r="F4" s="1" t="s">
        <v>2</v>
      </c>
      <c r="G4" s="1" t="s">
        <v>417</v>
      </c>
      <c r="H4" s="1" t="s">
        <v>2</v>
      </c>
      <c r="I4" s="1" t="s">
        <v>417</v>
      </c>
      <c r="J4" s="1" t="s">
        <v>2</v>
      </c>
      <c r="K4" s="1" t="s">
        <v>417</v>
      </c>
      <c r="L4" s="1" t="s">
        <v>2</v>
      </c>
      <c r="M4" s="1" t="s">
        <v>417</v>
      </c>
      <c r="N4" s="1" t="s">
        <v>2</v>
      </c>
      <c r="O4" s="1" t="s">
        <v>417</v>
      </c>
      <c r="P4" s="1" t="s">
        <v>2</v>
      </c>
      <c r="Q4" s="1" t="s">
        <v>417</v>
      </c>
      <c r="R4" s="1" t="s">
        <v>2</v>
      </c>
      <c r="S4" s="1" t="s">
        <v>417</v>
      </c>
      <c r="T4" s="1" t="s">
        <v>2</v>
      </c>
      <c r="U4" s="1" t="s">
        <v>417</v>
      </c>
      <c r="V4" s="1" t="s">
        <v>2</v>
      </c>
      <c r="W4" s="1" t="s">
        <v>417</v>
      </c>
      <c r="X4" s="1" t="s">
        <v>2</v>
      </c>
      <c r="Y4" s="1" t="s">
        <v>417</v>
      </c>
      <c r="Z4" s="1" t="s">
        <v>2</v>
      </c>
      <c r="AA4" s="1" t="s">
        <v>417</v>
      </c>
      <c r="AB4" s="1" t="s">
        <v>2</v>
      </c>
      <c r="AC4" s="1" t="s">
        <v>417</v>
      </c>
      <c r="AD4" s="1" t="s">
        <v>2</v>
      </c>
      <c r="AE4" s="1" t="s">
        <v>417</v>
      </c>
      <c r="AF4" s="1" t="s">
        <v>2</v>
      </c>
      <c r="AG4" s="1" t="s">
        <v>417</v>
      </c>
      <c r="AH4" s="1" t="s">
        <v>2</v>
      </c>
      <c r="AI4" s="1" t="s">
        <v>417</v>
      </c>
      <c r="AJ4" s="1" t="s">
        <v>2</v>
      </c>
      <c r="AK4" s="1" t="s">
        <v>417</v>
      </c>
      <c r="AL4" s="1" t="s">
        <v>2</v>
      </c>
      <c r="AM4" s="1" t="s">
        <v>417</v>
      </c>
      <c r="AN4" s="1" t="s">
        <v>2</v>
      </c>
      <c r="AO4" s="1" t="s">
        <v>417</v>
      </c>
      <c r="AP4" s="1" t="s">
        <v>2</v>
      </c>
      <c r="AQ4" s="1" t="s">
        <v>417</v>
      </c>
      <c r="AR4" s="1" t="s">
        <v>2</v>
      </c>
      <c r="AS4" s="1" t="s">
        <v>417</v>
      </c>
      <c r="AT4" s="1" t="s">
        <v>2</v>
      </c>
      <c r="AU4" s="1" t="s">
        <v>417</v>
      </c>
      <c r="AV4" s="1" t="s">
        <v>2</v>
      </c>
      <c r="AW4" s="1" t="s">
        <v>417</v>
      </c>
      <c r="AX4" s="1" t="s">
        <v>2</v>
      </c>
      <c r="AY4" s="1" t="s">
        <v>417</v>
      </c>
      <c r="AZ4" s="3"/>
      <c r="BA4" s="1" t="s">
        <v>2</v>
      </c>
      <c r="BB4" s="1" t="s">
        <v>417</v>
      </c>
      <c r="BC4" s="1" t="s">
        <v>2</v>
      </c>
      <c r="BD4" s="1" t="s">
        <v>417</v>
      </c>
      <c r="BE4" s="1" t="s">
        <v>2</v>
      </c>
      <c r="BF4" s="1" t="s">
        <v>417</v>
      </c>
      <c r="BG4" s="1" t="s">
        <v>2</v>
      </c>
      <c r="BH4" s="1" t="s">
        <v>417</v>
      </c>
      <c r="BI4" s="75"/>
      <c r="BJ4" s="75"/>
      <c r="BK4" s="3"/>
      <c r="BL4" s="1" t="s">
        <v>2</v>
      </c>
      <c r="BM4" s="1" t="s">
        <v>417</v>
      </c>
      <c r="BN4" s="1" t="s">
        <v>2</v>
      </c>
      <c r="BO4" s="1" t="s">
        <v>417</v>
      </c>
      <c r="BP4" s="1" t="s">
        <v>2</v>
      </c>
      <c r="BQ4" s="1" t="s">
        <v>417</v>
      </c>
      <c r="BR4" s="1" t="s">
        <v>2</v>
      </c>
      <c r="BS4" s="1" t="s">
        <v>417</v>
      </c>
      <c r="BT4" s="1" t="s">
        <v>2</v>
      </c>
      <c r="BU4" s="1" t="s">
        <v>417</v>
      </c>
      <c r="BV4" s="1" t="s">
        <v>2</v>
      </c>
      <c r="BW4" s="1" t="s">
        <v>417</v>
      </c>
      <c r="BX4" s="3"/>
      <c r="BY4" s="1" t="s">
        <v>400</v>
      </c>
      <c r="BZ4" s="1" t="s">
        <v>416</v>
      </c>
      <c r="CA4" s="76" t="s">
        <v>417</v>
      </c>
    </row>
    <row r="5" spans="1:79">
      <c r="A5" s="93" t="s">
        <v>1</v>
      </c>
      <c r="B5" s="2">
        <v>1.6299999999999999E-3</v>
      </c>
      <c r="C5" s="2">
        <v>14.5</v>
      </c>
      <c r="D5" s="2">
        <v>0.22800000000000001</v>
      </c>
      <c r="E5" s="2">
        <v>1.35</v>
      </c>
      <c r="F5" s="2">
        <v>0.28100000000000003</v>
      </c>
      <c r="G5" s="2">
        <v>29.6</v>
      </c>
      <c r="H5" s="2">
        <v>0.17399999999999999</v>
      </c>
      <c r="I5" s="2">
        <v>17.600000000000001</v>
      </c>
      <c r="J5" s="5"/>
      <c r="K5" s="5"/>
      <c r="L5" s="2">
        <v>0.13700000000000001</v>
      </c>
      <c r="M5" s="2">
        <v>41.9</v>
      </c>
      <c r="N5" s="2">
        <v>0.112</v>
      </c>
      <c r="O5" s="2">
        <v>0.79300000000000004</v>
      </c>
      <c r="P5" s="2">
        <v>3.8399999999999997E-2</v>
      </c>
      <c r="Q5" s="2">
        <v>12.6</v>
      </c>
      <c r="R5" s="2">
        <v>0.12</v>
      </c>
      <c r="S5" s="2">
        <v>58.7</v>
      </c>
      <c r="T5" s="2">
        <v>0.106</v>
      </c>
      <c r="U5" s="2">
        <v>79.2</v>
      </c>
      <c r="V5" s="2">
        <v>7.8899999999999998E-2</v>
      </c>
      <c r="W5" s="2">
        <v>20.2</v>
      </c>
      <c r="X5" s="2">
        <v>4.7199999999999999E-2</v>
      </c>
      <c r="Y5" s="2">
        <v>15.6</v>
      </c>
      <c r="Z5" s="2">
        <v>4.53E-2</v>
      </c>
      <c r="AA5" s="2">
        <v>22.3</v>
      </c>
      <c r="AB5" s="2">
        <v>4.2999999999999997E-2</v>
      </c>
      <c r="AC5" s="2">
        <v>17.2</v>
      </c>
      <c r="AD5" s="2">
        <v>3.3099999999999997E-2</v>
      </c>
      <c r="AE5" s="2">
        <v>20.100000000000001</v>
      </c>
      <c r="AF5" s="2">
        <v>8.2699999999999996E-2</v>
      </c>
      <c r="AG5" s="2">
        <v>23.8</v>
      </c>
      <c r="AH5" s="2">
        <v>6.0900000000000003E-2</v>
      </c>
      <c r="AI5" s="2">
        <v>14.5</v>
      </c>
      <c r="AJ5" s="2">
        <v>3.8600000000000002E-2</v>
      </c>
      <c r="AK5" s="2">
        <v>41.9</v>
      </c>
      <c r="AL5" s="2">
        <v>5.5100000000000003E-2</v>
      </c>
      <c r="AM5" s="2">
        <v>1.23</v>
      </c>
      <c r="AN5" s="2">
        <v>6.13E-2</v>
      </c>
      <c r="AO5" s="2">
        <v>38.6</v>
      </c>
      <c r="AP5" s="2">
        <v>6.0400000000000002E-2</v>
      </c>
      <c r="AQ5" s="2">
        <v>16.600000000000001</v>
      </c>
      <c r="AR5" s="2">
        <v>5.33E-2</v>
      </c>
      <c r="AS5" s="2">
        <v>16.899999999999999</v>
      </c>
      <c r="AT5" s="2">
        <v>3.5900000000000001E-2</v>
      </c>
      <c r="AU5" s="2">
        <v>29.8</v>
      </c>
      <c r="AV5" s="2">
        <v>5.5E-2</v>
      </c>
      <c r="AW5" s="2">
        <v>46.1</v>
      </c>
      <c r="AX5" s="2">
        <v>4.5199999999999997E-2</v>
      </c>
      <c r="AY5" s="2">
        <v>22.2</v>
      </c>
      <c r="AZ5" s="5"/>
      <c r="BA5" s="2">
        <v>1.66E-2</v>
      </c>
      <c r="BB5" s="2">
        <v>13.2</v>
      </c>
      <c r="BC5" s="2">
        <v>1.8200000000000001E-2</v>
      </c>
      <c r="BD5" s="2">
        <v>12.1</v>
      </c>
      <c r="BE5" s="2">
        <v>2.5499999999999998E-2</v>
      </c>
      <c r="BF5" s="2">
        <v>6.33</v>
      </c>
      <c r="BG5" s="2">
        <v>4.2299999999999997E-2</v>
      </c>
      <c r="BH5" s="2">
        <v>51.6</v>
      </c>
      <c r="BI5" s="5"/>
      <c r="BJ5" s="5"/>
      <c r="BK5" s="5"/>
      <c r="BL5" s="2">
        <v>3.0200000000000001E-2</v>
      </c>
      <c r="BM5" s="2">
        <v>32.799999999999997</v>
      </c>
      <c r="BN5" s="2">
        <v>4.19E-2</v>
      </c>
      <c r="BO5" s="2">
        <v>28.8</v>
      </c>
      <c r="BP5" s="2">
        <v>9.8500000000000004E-2</v>
      </c>
      <c r="BQ5" s="2">
        <v>1.27</v>
      </c>
      <c r="BR5" s="2">
        <v>2.6700000000000002E-2</v>
      </c>
      <c r="BS5" s="2">
        <v>8.99</v>
      </c>
      <c r="BT5" s="2">
        <v>0.23799999999999999</v>
      </c>
      <c r="BU5" s="2">
        <v>4.6399999999999997</v>
      </c>
      <c r="BV5" s="2">
        <v>6.9900000000000004E-2</v>
      </c>
      <c r="BW5" s="2">
        <v>92</v>
      </c>
      <c r="BX5" s="5"/>
      <c r="BY5" s="2">
        <v>8.4199999999999997E-2</v>
      </c>
      <c r="BZ5" s="2">
        <v>0.08</v>
      </c>
      <c r="CA5" s="79">
        <v>95.1</v>
      </c>
    </row>
    <row r="6" spans="1:79">
      <c r="A6" s="9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68"/>
    </row>
    <row r="7" spans="1:79">
      <c r="A7" s="93" t="s">
        <v>4</v>
      </c>
      <c r="B7" s="2">
        <v>3.1600000000000003E-2</v>
      </c>
      <c r="C7" s="2">
        <v>26.3</v>
      </c>
      <c r="D7" s="2">
        <v>0.13800000000000001</v>
      </c>
      <c r="E7" s="2">
        <v>35.9</v>
      </c>
      <c r="F7" s="5"/>
      <c r="G7" s="5"/>
      <c r="H7" s="2">
        <v>8.8499999999999995E-2</v>
      </c>
      <c r="I7" s="2">
        <v>1.29</v>
      </c>
      <c r="J7" s="5"/>
      <c r="K7" s="5"/>
      <c r="L7" s="2">
        <v>0.108</v>
      </c>
      <c r="M7" s="2">
        <v>61.3</v>
      </c>
      <c r="N7" s="2">
        <v>0.17499999999999999</v>
      </c>
      <c r="O7" s="2">
        <v>3.39</v>
      </c>
      <c r="P7" s="2">
        <v>8.3099999999999993E-2</v>
      </c>
      <c r="Q7" s="2">
        <v>5.71</v>
      </c>
      <c r="R7" s="2">
        <v>0.114</v>
      </c>
      <c r="S7" s="2">
        <v>2.77</v>
      </c>
      <c r="T7" s="2">
        <v>7.7799999999999994E-2</v>
      </c>
      <c r="U7" s="2">
        <v>27.3</v>
      </c>
      <c r="V7" s="2">
        <v>4.7500000000000001E-2</v>
      </c>
      <c r="W7" s="2">
        <v>9.56</v>
      </c>
      <c r="X7" s="2">
        <v>4.2799999999999998E-2</v>
      </c>
      <c r="Y7" s="2">
        <v>47.4</v>
      </c>
      <c r="Z7" s="2">
        <v>2.5600000000000001E-2</v>
      </c>
      <c r="AA7" s="2">
        <v>22.4</v>
      </c>
      <c r="AB7" s="2">
        <v>3.1399999999999997E-2</v>
      </c>
      <c r="AC7" s="2">
        <v>21.1</v>
      </c>
      <c r="AD7" s="2">
        <v>2.0500000000000001E-2</v>
      </c>
      <c r="AE7" s="2">
        <v>38.6</v>
      </c>
      <c r="AF7" s="2">
        <v>0.08</v>
      </c>
      <c r="AG7" s="2">
        <v>12.2</v>
      </c>
      <c r="AH7" s="2">
        <v>0.126</v>
      </c>
      <c r="AI7" s="2">
        <v>24.6</v>
      </c>
      <c r="AJ7" s="2">
        <v>4.5900000000000003E-2</v>
      </c>
      <c r="AK7" s="2">
        <v>45.6</v>
      </c>
      <c r="AL7" s="2">
        <v>9.11E-2</v>
      </c>
      <c r="AM7" s="2">
        <v>14.8</v>
      </c>
      <c r="AN7" s="2">
        <v>8.1500000000000003E-2</v>
      </c>
      <c r="AO7" s="2">
        <v>20.9</v>
      </c>
      <c r="AP7" s="2">
        <v>8.5300000000000001E-2</v>
      </c>
      <c r="AQ7" s="2">
        <v>22</v>
      </c>
      <c r="AR7" s="2">
        <v>9.1200000000000003E-2</v>
      </c>
      <c r="AS7" s="2">
        <v>31.6</v>
      </c>
      <c r="AT7" s="2">
        <v>4.5499999999999999E-2</v>
      </c>
      <c r="AU7" s="2">
        <v>20.100000000000001</v>
      </c>
      <c r="AV7" s="2">
        <v>6.2E-2</v>
      </c>
      <c r="AW7" s="2">
        <v>39.799999999999997</v>
      </c>
      <c r="AX7" s="2">
        <v>4.9099999999999998E-2</v>
      </c>
      <c r="AY7" s="2">
        <v>46.8</v>
      </c>
      <c r="AZ7" s="5"/>
      <c r="BA7" s="2">
        <v>3.09E-2</v>
      </c>
      <c r="BB7" s="2">
        <v>1.18</v>
      </c>
      <c r="BC7" s="2">
        <v>1.8800000000000001E-2</v>
      </c>
      <c r="BD7" s="2">
        <v>33.1</v>
      </c>
      <c r="BE7" s="2">
        <v>5.1700000000000003E-2</v>
      </c>
      <c r="BF7" s="2">
        <v>65.2</v>
      </c>
      <c r="BG7" s="2">
        <v>2.8400000000000002E-2</v>
      </c>
      <c r="BH7" s="2">
        <v>91.4</v>
      </c>
      <c r="BI7" s="5"/>
      <c r="BJ7" s="5"/>
      <c r="BK7" s="5"/>
      <c r="BL7" s="2">
        <v>7.3200000000000001E-2</v>
      </c>
      <c r="BM7" s="2">
        <v>15.2</v>
      </c>
      <c r="BN7" s="2">
        <v>3.9199999999999999E-2</v>
      </c>
      <c r="BO7" s="2">
        <v>26.6</v>
      </c>
      <c r="BP7" s="2">
        <v>3.9399999999999998E-2</v>
      </c>
      <c r="BQ7" s="2">
        <v>15</v>
      </c>
      <c r="BR7" s="2">
        <v>1.3899999999999999E-2</v>
      </c>
      <c r="BS7" s="2">
        <v>25.9</v>
      </c>
      <c r="BT7" s="2">
        <v>0.185</v>
      </c>
      <c r="BU7" s="2">
        <v>2.1800000000000002</v>
      </c>
      <c r="BV7" s="2">
        <v>9.2200000000000004E-2</v>
      </c>
      <c r="BW7" s="2">
        <v>56.3</v>
      </c>
      <c r="BX7" s="5"/>
      <c r="BY7" s="2">
        <v>7.3800000000000004E-2</v>
      </c>
      <c r="BZ7" s="2">
        <v>6.0999999999999999E-2</v>
      </c>
      <c r="CA7" s="79">
        <v>82.6</v>
      </c>
    </row>
    <row r="8" spans="1:79">
      <c r="A8" s="93" t="s">
        <v>5</v>
      </c>
      <c r="B8" s="4">
        <v>0.129</v>
      </c>
      <c r="C8" s="4">
        <v>5.95</v>
      </c>
      <c r="D8" s="4">
        <v>0.68</v>
      </c>
      <c r="E8" s="4">
        <v>8.14</v>
      </c>
      <c r="F8" s="4">
        <v>0.46500000000000002</v>
      </c>
      <c r="G8" s="4">
        <v>19.2</v>
      </c>
      <c r="H8" s="4">
        <v>1.66E-2</v>
      </c>
      <c r="I8" s="3"/>
      <c r="J8" s="3"/>
      <c r="K8" s="3"/>
      <c r="L8" s="4">
        <v>0.308</v>
      </c>
      <c r="M8" s="4">
        <v>29.2</v>
      </c>
      <c r="N8" s="4">
        <v>0.57299999999999995</v>
      </c>
      <c r="O8" s="4">
        <v>10</v>
      </c>
      <c r="P8" s="4">
        <v>0.22500000000000001</v>
      </c>
      <c r="Q8" s="4">
        <v>39.4</v>
      </c>
      <c r="R8" s="4">
        <v>0.316</v>
      </c>
      <c r="S8" s="4">
        <v>3.12</v>
      </c>
      <c r="T8" s="4">
        <v>0.23499999999999999</v>
      </c>
      <c r="U8" s="4">
        <v>11.1</v>
      </c>
      <c r="V8" s="4">
        <v>0.47</v>
      </c>
      <c r="W8" s="4">
        <v>10.6</v>
      </c>
      <c r="X8" s="4">
        <v>0.438</v>
      </c>
      <c r="Y8" s="4">
        <v>5.19</v>
      </c>
      <c r="Z8" s="4">
        <v>0.13200000000000001</v>
      </c>
      <c r="AA8" s="4">
        <v>4.62</v>
      </c>
      <c r="AB8" s="4">
        <v>0.157</v>
      </c>
      <c r="AC8" s="4">
        <v>6.59</v>
      </c>
      <c r="AD8" s="4">
        <v>0.126</v>
      </c>
      <c r="AE8" s="4">
        <v>0.443</v>
      </c>
      <c r="AF8" s="4">
        <v>0.442</v>
      </c>
      <c r="AG8" s="4">
        <v>2.8</v>
      </c>
      <c r="AH8" s="4">
        <v>0.21</v>
      </c>
      <c r="AI8" s="4">
        <v>14.4</v>
      </c>
      <c r="AJ8" s="4">
        <v>0.435</v>
      </c>
      <c r="AK8" s="4">
        <v>18.600000000000001</v>
      </c>
      <c r="AL8" s="4">
        <v>0.496</v>
      </c>
      <c r="AM8" s="4">
        <v>1.67</v>
      </c>
      <c r="AN8" s="4">
        <v>0.19</v>
      </c>
      <c r="AO8" s="4">
        <v>1.63</v>
      </c>
      <c r="AP8" s="4">
        <v>0.23699999999999999</v>
      </c>
      <c r="AQ8" s="4">
        <v>34.5</v>
      </c>
      <c r="AR8" s="4">
        <v>0.32300000000000001</v>
      </c>
      <c r="AS8" s="4">
        <v>3.09</v>
      </c>
      <c r="AT8" s="4">
        <v>0.45400000000000001</v>
      </c>
      <c r="AU8" s="4">
        <v>9.92</v>
      </c>
      <c r="AV8" s="4">
        <v>0.51200000000000001</v>
      </c>
      <c r="AW8" s="4">
        <v>12.4</v>
      </c>
      <c r="AX8" s="4">
        <v>0.42199999999999999</v>
      </c>
      <c r="AY8" s="4">
        <v>6.24</v>
      </c>
      <c r="AZ8" s="3"/>
      <c r="BA8" s="4">
        <v>0.17499999999999999</v>
      </c>
      <c r="BB8" s="4">
        <v>7.83</v>
      </c>
      <c r="BC8" s="4">
        <v>0.113</v>
      </c>
      <c r="BD8" s="4">
        <v>8.5500000000000007</v>
      </c>
      <c r="BE8" s="4">
        <v>0.157</v>
      </c>
      <c r="BF8" s="4">
        <v>8.64</v>
      </c>
      <c r="BG8" s="4">
        <v>0.309</v>
      </c>
      <c r="BH8" s="4">
        <v>11.5</v>
      </c>
      <c r="BI8" s="3"/>
      <c r="BJ8" s="3"/>
      <c r="BK8" s="3"/>
      <c r="BL8" s="4">
        <v>0.23599999999999999</v>
      </c>
      <c r="BM8" s="4">
        <v>11.3</v>
      </c>
      <c r="BN8" s="4">
        <v>0.223</v>
      </c>
      <c r="BO8" s="4">
        <v>32.9</v>
      </c>
      <c r="BP8" s="4">
        <v>0.371</v>
      </c>
      <c r="BQ8" s="4">
        <v>8.6300000000000008</v>
      </c>
      <c r="BR8" s="4">
        <v>0.111</v>
      </c>
      <c r="BS8" s="4">
        <v>5.37</v>
      </c>
      <c r="BT8" s="4">
        <v>0.51400000000000001</v>
      </c>
      <c r="BU8" s="4">
        <v>6.06</v>
      </c>
      <c r="BV8" s="4">
        <v>0.17299999999999999</v>
      </c>
      <c r="BW8" s="4">
        <v>4.07</v>
      </c>
      <c r="BX8" s="3"/>
      <c r="BY8" s="4">
        <v>0.27100000000000002</v>
      </c>
      <c r="BZ8" s="4">
        <v>0.14699999999999999</v>
      </c>
      <c r="CA8" s="78">
        <v>54.2</v>
      </c>
    </row>
    <row r="9" spans="1:79">
      <c r="A9" s="93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2">
        <v>1.6899999999999998E-2</v>
      </c>
      <c r="BO9" s="2">
        <v>71.3</v>
      </c>
      <c r="BP9" s="5"/>
      <c r="BQ9" s="5"/>
      <c r="BR9" s="5"/>
      <c r="BS9" s="5"/>
      <c r="BT9" s="5"/>
      <c r="BU9" s="5"/>
      <c r="BV9" s="5"/>
      <c r="BW9" s="5"/>
      <c r="BX9" s="5"/>
      <c r="BY9" s="2">
        <v>1.6899999999999998E-2</v>
      </c>
      <c r="BZ9" s="5"/>
      <c r="CA9" s="77"/>
    </row>
    <row r="10" spans="1:79">
      <c r="A10" s="93" t="s">
        <v>7</v>
      </c>
      <c r="B10" s="4">
        <v>3.3099999999999997E-2</v>
      </c>
      <c r="C10" s="4">
        <v>23.4</v>
      </c>
      <c r="D10" s="4">
        <v>3.6999999999999998E-2</v>
      </c>
      <c r="E10" s="4">
        <v>11.6</v>
      </c>
      <c r="F10" s="4">
        <v>0.128</v>
      </c>
      <c r="G10" s="4">
        <v>8.65</v>
      </c>
      <c r="H10" s="4">
        <v>0.19900000000000001</v>
      </c>
      <c r="I10" s="4">
        <v>43.9</v>
      </c>
      <c r="J10" s="3"/>
      <c r="K10" s="3"/>
      <c r="L10" s="4">
        <v>2.17</v>
      </c>
      <c r="M10" s="4">
        <v>10.3</v>
      </c>
      <c r="N10" s="3"/>
      <c r="O10" s="3"/>
      <c r="P10" s="4">
        <v>0.13400000000000001</v>
      </c>
      <c r="Q10" s="4">
        <v>58.2</v>
      </c>
      <c r="R10" s="4">
        <v>0.17799999999999999</v>
      </c>
      <c r="S10" s="4">
        <v>31.1</v>
      </c>
      <c r="T10" s="4">
        <v>0.11700000000000001</v>
      </c>
      <c r="U10" s="4">
        <v>38.9</v>
      </c>
      <c r="V10" s="4">
        <v>1.89E-2</v>
      </c>
      <c r="W10" s="4">
        <v>7.71</v>
      </c>
      <c r="X10" s="4">
        <v>2.9000000000000001E-2</v>
      </c>
      <c r="Y10" s="4">
        <v>65.099999999999994</v>
      </c>
      <c r="Z10" s="4">
        <v>3.5700000000000003E-2</v>
      </c>
      <c r="AA10" s="4">
        <v>39.4</v>
      </c>
      <c r="AB10" s="4">
        <v>3.95E-2</v>
      </c>
      <c r="AC10" s="4">
        <v>46.4</v>
      </c>
      <c r="AD10" s="4">
        <v>2.9100000000000001E-2</v>
      </c>
      <c r="AE10" s="4">
        <v>38.299999999999997</v>
      </c>
      <c r="AF10" s="4">
        <v>2.5600000000000001E-2</v>
      </c>
      <c r="AG10" s="4">
        <v>165</v>
      </c>
      <c r="AH10" s="4">
        <v>6.0100000000000001E-2</v>
      </c>
      <c r="AI10" s="4">
        <v>49.9</v>
      </c>
      <c r="AJ10" s="4">
        <v>0.106</v>
      </c>
      <c r="AK10" s="4">
        <v>6.59</v>
      </c>
      <c r="AL10" s="4">
        <v>0.13800000000000001</v>
      </c>
      <c r="AM10" s="4">
        <v>10.9</v>
      </c>
      <c r="AN10" s="4">
        <v>5.7299999999999997E-2</v>
      </c>
      <c r="AO10" s="4">
        <v>33.1</v>
      </c>
      <c r="AP10" s="4">
        <v>7.0599999999999996E-2</v>
      </c>
      <c r="AQ10" s="4">
        <v>22.4</v>
      </c>
      <c r="AR10" s="4">
        <v>0.10100000000000001</v>
      </c>
      <c r="AS10" s="4">
        <v>28.5</v>
      </c>
      <c r="AT10" s="4">
        <v>8.8599999999999998E-2</v>
      </c>
      <c r="AU10" s="4">
        <v>10.4</v>
      </c>
      <c r="AV10" s="4">
        <v>6.9199999999999998E-2</v>
      </c>
      <c r="AW10" s="4">
        <v>5.96</v>
      </c>
      <c r="AX10" s="4">
        <v>7.1999999999999995E-2</v>
      </c>
      <c r="AY10" s="4">
        <v>31.4</v>
      </c>
      <c r="AZ10" s="3"/>
      <c r="BA10" s="4">
        <v>8.3099999999999997E-3</v>
      </c>
      <c r="BB10" s="4">
        <v>54.7</v>
      </c>
      <c r="BC10" s="4">
        <v>1.9800000000000002E-2</v>
      </c>
      <c r="BD10" s="4">
        <v>64</v>
      </c>
      <c r="BE10" s="4">
        <v>9.4599999999999997E-3</v>
      </c>
      <c r="BF10" s="4">
        <v>5.74</v>
      </c>
      <c r="BG10" s="4">
        <v>4.6100000000000002E-2</v>
      </c>
      <c r="BH10" s="4">
        <v>1.42</v>
      </c>
      <c r="BI10" s="3"/>
      <c r="BJ10" s="3"/>
      <c r="BK10" s="3"/>
      <c r="BL10" s="4">
        <v>5.5500000000000001E-2</v>
      </c>
      <c r="BM10" s="4">
        <v>46.7</v>
      </c>
      <c r="BN10" s="4">
        <v>4.1200000000000001E-2</v>
      </c>
      <c r="BO10" s="4">
        <v>20.3</v>
      </c>
      <c r="BP10" s="4">
        <v>3.61E-2</v>
      </c>
      <c r="BQ10" s="4">
        <v>5.74</v>
      </c>
      <c r="BR10" s="4">
        <v>1.6899999999999998E-2</v>
      </c>
      <c r="BS10" s="4">
        <v>38.799999999999997</v>
      </c>
      <c r="BT10" s="4">
        <v>0.48399999999999999</v>
      </c>
      <c r="BU10" s="4">
        <v>24.9</v>
      </c>
      <c r="BV10" s="4">
        <v>8.0100000000000005E-2</v>
      </c>
      <c r="BW10" s="4">
        <v>41.4</v>
      </c>
      <c r="BX10" s="3"/>
      <c r="BY10" s="4">
        <v>0.11899999999999999</v>
      </c>
      <c r="BZ10" s="4">
        <v>0.18</v>
      </c>
      <c r="CA10" s="78">
        <v>151</v>
      </c>
    </row>
    <row r="11" spans="1:79">
      <c r="A11" s="93" t="s">
        <v>8</v>
      </c>
      <c r="B11" s="2">
        <v>0.14299999999999999</v>
      </c>
      <c r="C11" s="2">
        <v>13.2</v>
      </c>
      <c r="D11" s="2">
        <v>0.34399999999999997</v>
      </c>
      <c r="E11" s="2">
        <v>13.4</v>
      </c>
      <c r="F11" s="2">
        <v>0.34300000000000003</v>
      </c>
      <c r="G11" s="2">
        <v>4.4800000000000004</v>
      </c>
      <c r="H11" s="2">
        <v>0.32</v>
      </c>
      <c r="I11" s="2">
        <v>20.8</v>
      </c>
      <c r="J11" s="5"/>
      <c r="K11" s="5"/>
      <c r="L11" s="2">
        <v>0.25</v>
      </c>
      <c r="M11" s="2">
        <v>12</v>
      </c>
      <c r="N11" s="2">
        <v>0.30099999999999999</v>
      </c>
      <c r="O11" s="2">
        <v>22.6</v>
      </c>
      <c r="P11" s="5"/>
      <c r="Q11" s="5"/>
      <c r="R11" s="2">
        <v>0.114</v>
      </c>
      <c r="S11" s="2">
        <v>29.3</v>
      </c>
      <c r="T11" s="2">
        <v>0.24</v>
      </c>
      <c r="U11" s="2">
        <v>6.43</v>
      </c>
      <c r="V11" s="2">
        <v>0.156</v>
      </c>
      <c r="W11" s="2">
        <v>30.1</v>
      </c>
      <c r="X11" s="2">
        <v>0.217</v>
      </c>
      <c r="Y11" s="2">
        <v>1.1299999999999999</v>
      </c>
      <c r="Z11" s="2">
        <v>0.13700000000000001</v>
      </c>
      <c r="AA11" s="2">
        <v>0</v>
      </c>
      <c r="AB11" s="2">
        <v>0.14599999999999999</v>
      </c>
      <c r="AC11" s="2">
        <v>11</v>
      </c>
      <c r="AD11" s="2">
        <v>0.13</v>
      </c>
      <c r="AE11" s="2">
        <v>14.6</v>
      </c>
      <c r="AF11" s="2">
        <v>0.188</v>
      </c>
      <c r="AG11" s="2">
        <v>22.2</v>
      </c>
      <c r="AH11" s="2">
        <v>0.21199999999999999</v>
      </c>
      <c r="AI11" s="2">
        <v>10.4</v>
      </c>
      <c r="AJ11" s="2">
        <v>0.17699999999999999</v>
      </c>
      <c r="AK11" s="2">
        <v>8.36</v>
      </c>
      <c r="AL11" s="2">
        <v>0.189</v>
      </c>
      <c r="AM11" s="2">
        <v>17.600000000000001</v>
      </c>
      <c r="AN11" s="2">
        <v>0.26</v>
      </c>
      <c r="AO11" s="2">
        <v>13.9</v>
      </c>
      <c r="AP11" s="2">
        <v>0.20899999999999999</v>
      </c>
      <c r="AQ11" s="2">
        <v>3.47</v>
      </c>
      <c r="AR11" s="2">
        <v>0.21299999999999999</v>
      </c>
      <c r="AS11" s="2">
        <v>8.0399999999999991</v>
      </c>
      <c r="AT11" s="2">
        <v>0.154</v>
      </c>
      <c r="AU11" s="2">
        <v>3.13</v>
      </c>
      <c r="AV11" s="2">
        <v>0.21199999999999999</v>
      </c>
      <c r="AW11" s="2">
        <v>26.6</v>
      </c>
      <c r="AX11" s="2">
        <v>0.19700000000000001</v>
      </c>
      <c r="AY11" s="2">
        <v>11.1</v>
      </c>
      <c r="AZ11" s="5"/>
      <c r="BA11" s="2">
        <v>9.9099999999999994E-2</v>
      </c>
      <c r="BB11" s="2">
        <v>23.4</v>
      </c>
      <c r="BC11" s="2">
        <v>0.108</v>
      </c>
      <c r="BD11" s="2">
        <v>16.5</v>
      </c>
      <c r="BE11" s="2">
        <v>0.158</v>
      </c>
      <c r="BF11" s="2">
        <v>14.9</v>
      </c>
      <c r="BG11" s="2">
        <v>0.20200000000000001</v>
      </c>
      <c r="BH11" s="2">
        <v>10.8</v>
      </c>
      <c r="BI11" s="5"/>
      <c r="BJ11" s="5"/>
      <c r="BK11" s="5"/>
      <c r="BL11" s="2">
        <v>0.13800000000000001</v>
      </c>
      <c r="BM11" s="2">
        <v>27.2</v>
      </c>
      <c r="BN11" s="2">
        <v>0.13600000000000001</v>
      </c>
      <c r="BO11" s="2">
        <v>6.91</v>
      </c>
      <c r="BP11" s="2">
        <v>0.18099999999999999</v>
      </c>
      <c r="BQ11" s="2">
        <v>19.100000000000001</v>
      </c>
      <c r="BR11" s="2">
        <v>0.113</v>
      </c>
      <c r="BS11" s="2">
        <v>4.5</v>
      </c>
      <c r="BT11" s="2">
        <v>0.29299999999999998</v>
      </c>
      <c r="BU11" s="2">
        <v>55.6</v>
      </c>
      <c r="BV11" s="2">
        <v>0.224</v>
      </c>
      <c r="BW11" s="2">
        <v>18.8</v>
      </c>
      <c r="BX11" s="5"/>
      <c r="BY11" s="2">
        <v>0.18099999999999999</v>
      </c>
      <c r="BZ11" s="2">
        <v>6.7400000000000002E-2</v>
      </c>
      <c r="CA11" s="79">
        <v>37.200000000000003</v>
      </c>
    </row>
    <row r="12" spans="1:79">
      <c r="A12" s="93" t="s">
        <v>9</v>
      </c>
      <c r="B12" s="4">
        <v>1.81</v>
      </c>
      <c r="C12" s="4">
        <v>13.4</v>
      </c>
      <c r="D12" s="4">
        <v>1.25</v>
      </c>
      <c r="E12" s="4">
        <v>30.3</v>
      </c>
      <c r="F12" s="4">
        <v>2.33</v>
      </c>
      <c r="G12" s="4">
        <v>26.4</v>
      </c>
      <c r="H12" s="4">
        <v>1.76</v>
      </c>
      <c r="I12" s="4">
        <v>5.98</v>
      </c>
      <c r="J12" s="3"/>
      <c r="K12" s="3"/>
      <c r="L12" s="4">
        <v>1.84</v>
      </c>
      <c r="M12" s="4">
        <v>9.8000000000000007</v>
      </c>
      <c r="N12" s="4">
        <v>1.64</v>
      </c>
      <c r="O12" s="4">
        <v>13.3</v>
      </c>
      <c r="P12" s="4">
        <v>0.90200000000000002</v>
      </c>
      <c r="Q12" s="4">
        <v>12.2</v>
      </c>
      <c r="R12" s="4">
        <v>1.27</v>
      </c>
      <c r="S12" s="4">
        <v>9.85</v>
      </c>
      <c r="T12" s="4">
        <v>1.22</v>
      </c>
      <c r="U12" s="4">
        <v>3.31</v>
      </c>
      <c r="V12" s="4">
        <v>0.76400000000000001</v>
      </c>
      <c r="W12" s="4">
        <v>21.1</v>
      </c>
      <c r="X12" s="4">
        <v>0.9</v>
      </c>
      <c r="Y12" s="4">
        <v>58</v>
      </c>
      <c r="Z12" s="4">
        <v>1.79</v>
      </c>
      <c r="AA12" s="4">
        <v>39.1</v>
      </c>
      <c r="AB12" s="4">
        <v>1.89</v>
      </c>
      <c r="AC12" s="4">
        <v>24.3</v>
      </c>
      <c r="AD12" s="4">
        <v>1.66</v>
      </c>
      <c r="AE12" s="4">
        <v>6.73</v>
      </c>
      <c r="AF12" s="4">
        <v>0.874</v>
      </c>
      <c r="AG12" s="4">
        <v>28.3</v>
      </c>
      <c r="AH12" s="4">
        <v>1.06</v>
      </c>
      <c r="AI12" s="4">
        <v>3.82</v>
      </c>
      <c r="AJ12" s="4">
        <v>1.17</v>
      </c>
      <c r="AK12" s="4">
        <v>29.6</v>
      </c>
      <c r="AL12" s="4">
        <v>1.25</v>
      </c>
      <c r="AM12" s="4">
        <v>15</v>
      </c>
      <c r="AN12" s="4">
        <v>0.99</v>
      </c>
      <c r="AO12" s="4">
        <v>1.26</v>
      </c>
      <c r="AP12" s="4">
        <v>0.94099999999999995</v>
      </c>
      <c r="AQ12" s="4">
        <v>12.3</v>
      </c>
      <c r="AR12" s="4">
        <v>1.27</v>
      </c>
      <c r="AS12" s="4">
        <v>8.43</v>
      </c>
      <c r="AT12" s="4">
        <v>1.3</v>
      </c>
      <c r="AU12" s="4">
        <v>25.9</v>
      </c>
      <c r="AV12" s="4">
        <v>1.39</v>
      </c>
      <c r="AW12" s="4">
        <v>29.8</v>
      </c>
      <c r="AX12" s="4">
        <v>1.21</v>
      </c>
      <c r="AY12" s="4">
        <v>31</v>
      </c>
      <c r="AZ12" s="3"/>
      <c r="BA12" s="4">
        <v>0.874</v>
      </c>
      <c r="BB12" s="4">
        <v>35.5</v>
      </c>
      <c r="BC12" s="4">
        <v>0.94599999999999995</v>
      </c>
      <c r="BD12" s="4">
        <v>26.5</v>
      </c>
      <c r="BE12" s="4">
        <v>1.07</v>
      </c>
      <c r="BF12" s="4">
        <v>36</v>
      </c>
      <c r="BG12" s="4">
        <v>1.97</v>
      </c>
      <c r="BH12" s="4">
        <v>36.299999999999997</v>
      </c>
      <c r="BI12" s="3"/>
      <c r="BJ12" s="3"/>
      <c r="BK12" s="3"/>
      <c r="BL12" s="4">
        <v>0.97699999999999998</v>
      </c>
      <c r="BM12" s="4">
        <v>20.399999999999999</v>
      </c>
      <c r="BN12" s="4">
        <v>1.39</v>
      </c>
      <c r="BO12" s="4">
        <v>18.899999999999999</v>
      </c>
      <c r="BP12" s="4">
        <v>0.66800000000000004</v>
      </c>
      <c r="BQ12" s="4">
        <v>57.7</v>
      </c>
      <c r="BR12" s="4">
        <v>1.31</v>
      </c>
      <c r="BS12" s="4">
        <v>28.9</v>
      </c>
      <c r="BT12" s="4">
        <v>2.0099999999999998</v>
      </c>
      <c r="BU12" s="4">
        <v>15.5</v>
      </c>
      <c r="BV12" s="4">
        <v>0.95299999999999996</v>
      </c>
      <c r="BW12" s="4">
        <v>10.199999999999999</v>
      </c>
      <c r="BX12" s="3"/>
      <c r="BY12" s="4">
        <v>1.22</v>
      </c>
      <c r="BZ12" s="4">
        <v>0.46800000000000003</v>
      </c>
      <c r="CA12" s="78">
        <v>38.4</v>
      </c>
    </row>
    <row r="13" spans="1:79">
      <c r="A13" s="93" t="s">
        <v>10</v>
      </c>
      <c r="B13" s="2">
        <v>0.44900000000000001</v>
      </c>
      <c r="C13" s="2">
        <v>16.3</v>
      </c>
      <c r="D13" s="2">
        <v>0.42299999999999999</v>
      </c>
      <c r="E13" s="2">
        <v>16</v>
      </c>
      <c r="F13" s="2">
        <v>1.1599999999999999</v>
      </c>
      <c r="G13" s="2">
        <v>10.5</v>
      </c>
      <c r="H13" s="2">
        <v>0.873</v>
      </c>
      <c r="I13" s="2">
        <v>5.72</v>
      </c>
      <c r="J13" s="5"/>
      <c r="K13" s="5"/>
      <c r="L13" s="2">
        <v>0.76100000000000001</v>
      </c>
      <c r="M13" s="2">
        <v>23.5</v>
      </c>
      <c r="N13" s="2">
        <v>0.48699999999999999</v>
      </c>
      <c r="O13" s="2">
        <v>16.8</v>
      </c>
      <c r="P13" s="2">
        <v>0.42699999999999999</v>
      </c>
      <c r="Q13" s="2">
        <v>2.94</v>
      </c>
      <c r="R13" s="2">
        <v>0.73799999999999999</v>
      </c>
      <c r="S13" s="2">
        <v>34.1</v>
      </c>
      <c r="T13" s="2">
        <v>0.56499999999999995</v>
      </c>
      <c r="U13" s="2">
        <v>19.8</v>
      </c>
      <c r="V13" s="2">
        <v>1.02</v>
      </c>
      <c r="W13" s="2">
        <v>16.100000000000001</v>
      </c>
      <c r="X13" s="2">
        <v>1.19</v>
      </c>
      <c r="Y13" s="2">
        <v>25.1</v>
      </c>
      <c r="Z13" s="2">
        <v>0.436</v>
      </c>
      <c r="AA13" s="2">
        <v>4.93</v>
      </c>
      <c r="AB13" s="2">
        <v>0.47</v>
      </c>
      <c r="AC13" s="2">
        <v>8.33</v>
      </c>
      <c r="AD13" s="2">
        <v>0.373</v>
      </c>
      <c r="AE13" s="2">
        <v>18.7</v>
      </c>
      <c r="AF13" s="2">
        <v>0.79100000000000004</v>
      </c>
      <c r="AG13" s="2">
        <v>21.9</v>
      </c>
      <c r="AH13" s="2">
        <v>0.64300000000000002</v>
      </c>
      <c r="AI13" s="2">
        <v>14.6</v>
      </c>
      <c r="AJ13" s="2">
        <v>0.434</v>
      </c>
      <c r="AK13" s="2">
        <v>15.2</v>
      </c>
      <c r="AL13" s="2">
        <v>0.40799999999999997</v>
      </c>
      <c r="AM13" s="2">
        <v>35.200000000000003</v>
      </c>
      <c r="AN13" s="2">
        <v>0.33500000000000002</v>
      </c>
      <c r="AO13" s="2">
        <v>39.5</v>
      </c>
      <c r="AP13" s="2">
        <v>0.379</v>
      </c>
      <c r="AQ13" s="2">
        <v>26.3</v>
      </c>
      <c r="AR13" s="2">
        <v>0.499</v>
      </c>
      <c r="AS13" s="2">
        <v>10.7</v>
      </c>
      <c r="AT13" s="2">
        <v>0.38100000000000001</v>
      </c>
      <c r="AU13" s="2">
        <v>16.7</v>
      </c>
      <c r="AV13" s="2">
        <v>0.43</v>
      </c>
      <c r="AW13" s="2">
        <v>5.8</v>
      </c>
      <c r="AX13" s="2">
        <v>0.41599999999999998</v>
      </c>
      <c r="AY13" s="2">
        <v>7.82</v>
      </c>
      <c r="AZ13" s="5"/>
      <c r="BA13" s="2">
        <v>3.3300000000000003E-2</v>
      </c>
      <c r="BB13" s="2">
        <v>1.53</v>
      </c>
      <c r="BC13" s="2">
        <v>2.7400000000000001E-2</v>
      </c>
      <c r="BD13" s="2">
        <v>41.6</v>
      </c>
      <c r="BE13" s="2">
        <v>4.0800000000000003E-2</v>
      </c>
      <c r="BF13" s="2">
        <v>18.7</v>
      </c>
      <c r="BG13" s="2">
        <v>6.3100000000000003E-2</v>
      </c>
      <c r="BH13" s="2">
        <v>4.3499999999999996</v>
      </c>
      <c r="BI13" s="5"/>
      <c r="BJ13" s="5"/>
      <c r="BK13" s="5"/>
      <c r="BL13" s="2">
        <v>0.36199999999999999</v>
      </c>
      <c r="BM13" s="2">
        <v>17.5</v>
      </c>
      <c r="BN13" s="2">
        <v>0.40200000000000002</v>
      </c>
      <c r="BO13" s="2">
        <v>21.5</v>
      </c>
      <c r="BP13" s="2">
        <v>0.59099999999999997</v>
      </c>
      <c r="BQ13" s="2">
        <v>18.5</v>
      </c>
      <c r="BR13" s="2">
        <v>4.9399999999999999E-2</v>
      </c>
      <c r="BS13" s="2">
        <v>15.2</v>
      </c>
      <c r="BT13" s="2">
        <v>0.92100000000000004</v>
      </c>
      <c r="BU13" s="2">
        <v>38.1</v>
      </c>
      <c r="BV13" s="2">
        <v>0.43</v>
      </c>
      <c r="BW13" s="2">
        <v>12.6</v>
      </c>
      <c r="BX13" s="5"/>
      <c r="BY13" s="2">
        <v>0.45900000000000002</v>
      </c>
      <c r="BZ13" s="2">
        <v>0.28699999999999998</v>
      </c>
      <c r="CA13" s="79">
        <v>62.5</v>
      </c>
    </row>
    <row r="14" spans="1:79">
      <c r="A14" s="93" t="s">
        <v>11</v>
      </c>
      <c r="B14" s="4">
        <v>3.37</v>
      </c>
      <c r="C14" s="4">
        <v>21.4</v>
      </c>
      <c r="D14" s="4">
        <v>4.59</v>
      </c>
      <c r="E14" s="4">
        <v>1.34</v>
      </c>
      <c r="F14" s="4">
        <v>8.3800000000000008</v>
      </c>
      <c r="G14" s="4">
        <v>26.4</v>
      </c>
      <c r="H14" s="4">
        <v>5.26</v>
      </c>
      <c r="I14" s="4">
        <v>20.5</v>
      </c>
      <c r="J14" s="3"/>
      <c r="K14" s="3"/>
      <c r="L14" s="4">
        <v>5.72</v>
      </c>
      <c r="M14" s="4">
        <v>21.5</v>
      </c>
      <c r="N14" s="4">
        <v>4.68</v>
      </c>
      <c r="O14" s="4">
        <v>4.8600000000000003</v>
      </c>
      <c r="P14" s="4">
        <v>3.2</v>
      </c>
      <c r="Q14" s="4">
        <v>12.9</v>
      </c>
      <c r="R14" s="4">
        <v>4.3499999999999996</v>
      </c>
      <c r="S14" s="4">
        <v>30.8</v>
      </c>
      <c r="T14" s="4">
        <v>5.27</v>
      </c>
      <c r="U14" s="4">
        <v>5.12</v>
      </c>
      <c r="V14" s="4">
        <v>4.91</v>
      </c>
      <c r="W14" s="4">
        <v>1.98</v>
      </c>
      <c r="X14" s="4">
        <v>4.42</v>
      </c>
      <c r="Y14" s="4">
        <v>2.2200000000000002</v>
      </c>
      <c r="Z14" s="4">
        <v>3.23</v>
      </c>
      <c r="AA14" s="4">
        <v>24.7</v>
      </c>
      <c r="AB14" s="4">
        <v>3.37</v>
      </c>
      <c r="AC14" s="4">
        <v>21.2</v>
      </c>
      <c r="AD14" s="4">
        <v>2.87</v>
      </c>
      <c r="AE14" s="4">
        <v>18.7</v>
      </c>
      <c r="AF14" s="4">
        <v>5.0599999999999996</v>
      </c>
      <c r="AG14" s="4">
        <v>19.3</v>
      </c>
      <c r="AH14" s="4">
        <v>3.57</v>
      </c>
      <c r="AI14" s="4">
        <v>22.9</v>
      </c>
      <c r="AJ14" s="4">
        <v>3.35</v>
      </c>
      <c r="AK14" s="4">
        <v>13.5</v>
      </c>
      <c r="AL14" s="4">
        <v>4.99</v>
      </c>
      <c r="AM14" s="4">
        <v>27.9</v>
      </c>
      <c r="AN14" s="4">
        <v>2.99</v>
      </c>
      <c r="AO14" s="4">
        <v>8.93</v>
      </c>
      <c r="AP14" s="4">
        <v>3.48</v>
      </c>
      <c r="AQ14" s="4">
        <v>24.7</v>
      </c>
      <c r="AR14" s="4">
        <v>4</v>
      </c>
      <c r="AS14" s="4">
        <v>15.8</v>
      </c>
      <c r="AT14" s="4">
        <v>3.28</v>
      </c>
      <c r="AU14" s="4">
        <v>14.4</v>
      </c>
      <c r="AV14" s="4">
        <v>4.1500000000000004</v>
      </c>
      <c r="AW14" s="4">
        <v>16.5</v>
      </c>
      <c r="AX14" s="4">
        <v>3.49</v>
      </c>
      <c r="AY14" s="4">
        <v>22.6</v>
      </c>
      <c r="AZ14" s="3"/>
      <c r="BA14" s="4">
        <v>1.72</v>
      </c>
      <c r="BB14" s="4">
        <v>1.76</v>
      </c>
      <c r="BC14" s="4">
        <v>3.16</v>
      </c>
      <c r="BD14" s="4">
        <v>23.5</v>
      </c>
      <c r="BE14" s="4">
        <v>5.25</v>
      </c>
      <c r="BF14" s="4">
        <v>22.2</v>
      </c>
      <c r="BG14" s="4">
        <v>7.41</v>
      </c>
      <c r="BH14" s="4">
        <v>15</v>
      </c>
      <c r="BI14" s="3"/>
      <c r="BJ14" s="3"/>
      <c r="BK14" s="3"/>
      <c r="BL14" s="4">
        <v>2.4500000000000002</v>
      </c>
      <c r="BM14" s="4">
        <v>3.2</v>
      </c>
      <c r="BN14" s="4">
        <v>2.97</v>
      </c>
      <c r="BO14" s="4">
        <v>0</v>
      </c>
      <c r="BP14" s="4">
        <v>4.45</v>
      </c>
      <c r="BQ14" s="4">
        <v>7.75</v>
      </c>
      <c r="BR14" s="4">
        <v>3.14</v>
      </c>
      <c r="BS14" s="4">
        <v>5.38</v>
      </c>
      <c r="BT14" s="4">
        <v>9.91</v>
      </c>
      <c r="BU14" s="4">
        <v>33.700000000000003</v>
      </c>
      <c r="BV14" s="4">
        <v>3.34</v>
      </c>
      <c r="BW14" s="4">
        <v>11.4</v>
      </c>
      <c r="BX14" s="3"/>
      <c r="BY14" s="4">
        <v>4.38</v>
      </c>
      <c r="BZ14" s="4">
        <v>2.79</v>
      </c>
      <c r="CA14" s="78">
        <v>63.7</v>
      </c>
    </row>
    <row r="15" spans="1:79">
      <c r="A15" s="93" t="s">
        <v>12</v>
      </c>
      <c r="B15" s="2">
        <v>0.49399999999999999</v>
      </c>
      <c r="C15" s="2">
        <v>13.6</v>
      </c>
      <c r="D15" s="2">
        <v>0.99099999999999999</v>
      </c>
      <c r="E15" s="2">
        <v>21.2</v>
      </c>
      <c r="F15" s="2">
        <v>1.08</v>
      </c>
      <c r="G15" s="2">
        <v>26.6</v>
      </c>
      <c r="H15" s="2">
        <v>1.41</v>
      </c>
      <c r="I15" s="2">
        <v>48.2</v>
      </c>
      <c r="J15" s="5"/>
      <c r="K15" s="5"/>
      <c r="L15" s="2">
        <v>0.97799999999999998</v>
      </c>
      <c r="M15" s="2">
        <v>37.200000000000003</v>
      </c>
      <c r="N15" s="2">
        <v>1.02</v>
      </c>
      <c r="O15" s="2">
        <v>6.1</v>
      </c>
      <c r="P15" s="2">
        <v>0.68400000000000005</v>
      </c>
      <c r="Q15" s="2">
        <v>6.29</v>
      </c>
      <c r="R15" s="2">
        <v>1.03</v>
      </c>
      <c r="S15" s="2">
        <v>25.2</v>
      </c>
      <c r="T15" s="2">
        <v>0.67600000000000005</v>
      </c>
      <c r="U15" s="2">
        <v>10.5</v>
      </c>
      <c r="V15" s="2">
        <v>0.30399999999999999</v>
      </c>
      <c r="W15" s="2">
        <v>9.06</v>
      </c>
      <c r="X15" s="2">
        <v>0.251</v>
      </c>
      <c r="Y15" s="2">
        <v>9.5399999999999991</v>
      </c>
      <c r="Z15" s="2">
        <v>0.45</v>
      </c>
      <c r="AA15" s="2">
        <v>25.7</v>
      </c>
      <c r="AB15" s="2">
        <v>0.51700000000000002</v>
      </c>
      <c r="AC15" s="2">
        <v>9.99</v>
      </c>
      <c r="AD15" s="2">
        <v>0.46100000000000002</v>
      </c>
      <c r="AE15" s="2">
        <v>18.2</v>
      </c>
      <c r="AF15" s="2">
        <v>0.33500000000000002</v>
      </c>
      <c r="AG15" s="2">
        <v>46.4</v>
      </c>
      <c r="AH15" s="2">
        <v>0.63400000000000001</v>
      </c>
      <c r="AI15" s="2">
        <v>8.1300000000000008</v>
      </c>
      <c r="AJ15" s="2">
        <v>0.41599999999999998</v>
      </c>
      <c r="AK15" s="2">
        <v>22.2</v>
      </c>
      <c r="AL15" s="2">
        <v>0.745</v>
      </c>
      <c r="AM15" s="2">
        <v>24.7</v>
      </c>
      <c r="AN15" s="2">
        <v>0.34699999999999998</v>
      </c>
      <c r="AO15" s="2">
        <v>12.7</v>
      </c>
      <c r="AP15" s="2">
        <v>0.35199999999999998</v>
      </c>
      <c r="AQ15" s="2">
        <v>22.4</v>
      </c>
      <c r="AR15" s="2">
        <v>0.42799999999999999</v>
      </c>
      <c r="AS15" s="2">
        <v>24.7</v>
      </c>
      <c r="AT15" s="2">
        <v>0.49399999999999999</v>
      </c>
      <c r="AU15" s="2">
        <v>28.8</v>
      </c>
      <c r="AV15" s="2">
        <v>0.54200000000000004</v>
      </c>
      <c r="AW15" s="2">
        <v>25.2</v>
      </c>
      <c r="AX15" s="2">
        <v>0.47799999999999998</v>
      </c>
      <c r="AY15" s="2">
        <v>36.9</v>
      </c>
      <c r="AZ15" s="5"/>
      <c r="BA15" s="2">
        <v>0.32700000000000001</v>
      </c>
      <c r="BB15" s="2">
        <v>58.9</v>
      </c>
      <c r="BC15" s="2">
        <v>0.253</v>
      </c>
      <c r="BD15" s="2">
        <v>49</v>
      </c>
      <c r="BE15" s="2">
        <v>0.41299999999999998</v>
      </c>
      <c r="BF15" s="2">
        <v>53.1</v>
      </c>
      <c r="BG15" s="2">
        <v>0.56100000000000005</v>
      </c>
      <c r="BH15" s="2">
        <v>75.3</v>
      </c>
      <c r="BI15" s="5"/>
      <c r="BJ15" s="5"/>
      <c r="BK15" s="5"/>
      <c r="BL15" s="2">
        <v>0.32300000000000001</v>
      </c>
      <c r="BM15" s="2">
        <v>8.43</v>
      </c>
      <c r="BN15" s="2">
        <v>0.53100000000000003</v>
      </c>
      <c r="BO15" s="2">
        <v>13.4</v>
      </c>
      <c r="BP15" s="2">
        <v>0.22500000000000001</v>
      </c>
      <c r="BQ15" s="2">
        <v>13</v>
      </c>
      <c r="BR15" s="2">
        <v>0.41499999999999998</v>
      </c>
      <c r="BS15" s="2">
        <v>79.2</v>
      </c>
      <c r="BT15" s="2">
        <v>1.91</v>
      </c>
      <c r="BU15" s="2">
        <v>65</v>
      </c>
      <c r="BV15" s="2">
        <v>0.748</v>
      </c>
      <c r="BW15" s="2">
        <v>41.2</v>
      </c>
      <c r="BX15" s="5"/>
      <c r="BY15" s="2">
        <v>0.69099999999999995</v>
      </c>
      <c r="BZ15" s="2">
        <v>0.622</v>
      </c>
      <c r="CA15" s="79">
        <v>90</v>
      </c>
    </row>
    <row r="16" spans="1:79">
      <c r="A16" s="93" t="s">
        <v>13</v>
      </c>
      <c r="B16" s="4">
        <v>0.52700000000000002</v>
      </c>
      <c r="C16" s="4">
        <v>10.6</v>
      </c>
      <c r="D16" s="4">
        <v>1.02</v>
      </c>
      <c r="E16" s="3"/>
      <c r="F16" s="4">
        <v>0.79</v>
      </c>
      <c r="G16" s="3"/>
      <c r="H16" s="4">
        <v>0.73599999999999999</v>
      </c>
      <c r="I16" s="3"/>
      <c r="J16" s="3"/>
      <c r="K16" s="3"/>
      <c r="L16" s="4">
        <v>0.64100000000000001</v>
      </c>
      <c r="M16" s="3"/>
      <c r="N16" s="4">
        <v>0.745</v>
      </c>
      <c r="O16" s="3"/>
      <c r="P16" s="4">
        <v>1.82</v>
      </c>
      <c r="Q16" s="4">
        <v>27.5</v>
      </c>
      <c r="R16" s="4">
        <v>1.85</v>
      </c>
      <c r="S16" s="4">
        <v>13.8</v>
      </c>
      <c r="T16" s="4">
        <v>1.68</v>
      </c>
      <c r="U16" s="4">
        <v>6.3</v>
      </c>
      <c r="V16" s="4">
        <v>2.8000000000000001E-2</v>
      </c>
      <c r="W16" s="4">
        <v>0</v>
      </c>
      <c r="X16" s="4">
        <v>1.48</v>
      </c>
      <c r="Y16" s="4">
        <v>52.4</v>
      </c>
      <c r="Z16" s="4">
        <v>0.52200000000000002</v>
      </c>
      <c r="AA16" s="4">
        <v>24.4</v>
      </c>
      <c r="AB16" s="4">
        <v>0.57999999999999996</v>
      </c>
      <c r="AC16" s="4">
        <v>3.16</v>
      </c>
      <c r="AD16" s="4">
        <v>0.59099999999999997</v>
      </c>
      <c r="AE16" s="4">
        <v>18.2</v>
      </c>
      <c r="AF16" s="4">
        <v>1.57</v>
      </c>
      <c r="AG16" s="4">
        <v>31.9</v>
      </c>
      <c r="AH16" s="4">
        <v>1.45</v>
      </c>
      <c r="AI16" s="4">
        <v>25.4</v>
      </c>
      <c r="AJ16" s="4">
        <v>1.27</v>
      </c>
      <c r="AK16" s="4">
        <v>52.5</v>
      </c>
      <c r="AL16" s="4">
        <v>1.46</v>
      </c>
      <c r="AM16" s="4">
        <v>9.2899999999999991</v>
      </c>
      <c r="AN16" s="4">
        <v>1.48</v>
      </c>
      <c r="AO16" s="4">
        <v>14.7</v>
      </c>
      <c r="AP16" s="4">
        <v>1.8</v>
      </c>
      <c r="AQ16" s="4">
        <v>12.5</v>
      </c>
      <c r="AR16" s="4">
        <v>1.72</v>
      </c>
      <c r="AS16" s="4">
        <v>6.66</v>
      </c>
      <c r="AT16" s="4">
        <v>1.45</v>
      </c>
      <c r="AU16" s="4">
        <v>42.2</v>
      </c>
      <c r="AV16" s="4">
        <v>1.5</v>
      </c>
      <c r="AW16" s="4">
        <v>30.9</v>
      </c>
      <c r="AX16" s="4">
        <v>1.08</v>
      </c>
      <c r="AY16" s="4">
        <v>23.2</v>
      </c>
      <c r="AZ16" s="3"/>
      <c r="BA16" s="4">
        <v>1.28</v>
      </c>
      <c r="BB16" s="4">
        <v>17.399999999999999</v>
      </c>
      <c r="BC16" s="4">
        <v>1.24</v>
      </c>
      <c r="BD16" s="4">
        <v>11.6</v>
      </c>
      <c r="BE16" s="4">
        <v>1.36</v>
      </c>
      <c r="BF16" s="4">
        <v>3.2</v>
      </c>
      <c r="BG16" s="4">
        <v>1.37</v>
      </c>
      <c r="BH16" s="4">
        <v>26.1</v>
      </c>
      <c r="BI16" s="3"/>
      <c r="BJ16" s="3"/>
      <c r="BK16" s="3"/>
      <c r="BL16" s="4">
        <v>1.72</v>
      </c>
      <c r="BM16" s="4">
        <v>7.92</v>
      </c>
      <c r="BN16" s="4">
        <v>0.96799999999999997</v>
      </c>
      <c r="BO16" s="4">
        <v>21.9</v>
      </c>
      <c r="BP16" s="4">
        <v>0.94099999999999995</v>
      </c>
      <c r="BQ16" s="4">
        <v>0</v>
      </c>
      <c r="BR16" s="4">
        <v>1.06</v>
      </c>
      <c r="BS16" s="4">
        <v>15.7</v>
      </c>
      <c r="BT16" s="4">
        <v>0.9</v>
      </c>
      <c r="BU16" s="4">
        <v>0</v>
      </c>
      <c r="BV16" s="4">
        <v>1.27</v>
      </c>
      <c r="BW16" s="4">
        <v>11.1</v>
      </c>
      <c r="BX16" s="3"/>
      <c r="BY16" s="4">
        <v>1.1399999999999999</v>
      </c>
      <c r="BZ16" s="4">
        <v>0.311</v>
      </c>
      <c r="CA16" s="78">
        <v>27.2</v>
      </c>
    </row>
    <row r="17" spans="1:79">
      <c r="A17" s="93" t="s">
        <v>761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77"/>
    </row>
    <row r="18" spans="1:79">
      <c r="A18" s="93" t="s">
        <v>14</v>
      </c>
      <c r="B18" s="4">
        <v>1.29</v>
      </c>
      <c r="C18" s="4">
        <v>4.59</v>
      </c>
      <c r="D18" s="4">
        <v>3.31</v>
      </c>
      <c r="E18" s="4">
        <v>23.8</v>
      </c>
      <c r="F18" s="4">
        <v>4.8899999999999997</v>
      </c>
      <c r="G18" s="4">
        <v>22.4</v>
      </c>
      <c r="H18" s="4">
        <v>4.18</v>
      </c>
      <c r="I18" s="4">
        <v>25.8</v>
      </c>
      <c r="J18" s="3"/>
      <c r="K18" s="3"/>
      <c r="L18" s="4">
        <v>4.8600000000000003</v>
      </c>
      <c r="M18" s="4">
        <v>20.100000000000001</v>
      </c>
      <c r="N18" s="4">
        <v>4.55</v>
      </c>
      <c r="O18" s="4">
        <v>20.6</v>
      </c>
      <c r="P18" s="4">
        <v>2.4500000000000002</v>
      </c>
      <c r="Q18" s="4">
        <v>35.799999999999997</v>
      </c>
      <c r="R18" s="4">
        <v>4.3499999999999996</v>
      </c>
      <c r="S18" s="4">
        <v>26.7</v>
      </c>
      <c r="T18" s="4">
        <v>3.23</v>
      </c>
      <c r="U18" s="4">
        <v>67.7</v>
      </c>
      <c r="V18" s="4">
        <v>1.7</v>
      </c>
      <c r="W18" s="4">
        <v>26.4</v>
      </c>
      <c r="X18" s="4">
        <v>1.6</v>
      </c>
      <c r="Y18" s="4">
        <v>20</v>
      </c>
      <c r="Z18" s="4">
        <v>1.25</v>
      </c>
      <c r="AA18" s="4">
        <v>8.89</v>
      </c>
      <c r="AB18" s="4">
        <v>1.33</v>
      </c>
      <c r="AC18" s="4">
        <v>12.9</v>
      </c>
      <c r="AD18" s="4">
        <v>1.2</v>
      </c>
      <c r="AE18" s="4">
        <v>12.1</v>
      </c>
      <c r="AF18" s="4">
        <v>1.69</v>
      </c>
      <c r="AG18" s="4">
        <v>15</v>
      </c>
      <c r="AH18" s="4">
        <v>2.36</v>
      </c>
      <c r="AI18" s="4">
        <v>57</v>
      </c>
      <c r="AJ18" s="4">
        <v>2.08</v>
      </c>
      <c r="AK18" s="4">
        <v>14.8</v>
      </c>
      <c r="AL18" s="4">
        <v>3.82</v>
      </c>
      <c r="AM18" s="4">
        <v>6.54</v>
      </c>
      <c r="AN18" s="4">
        <v>1.58</v>
      </c>
      <c r="AO18" s="4">
        <v>10.1</v>
      </c>
      <c r="AP18" s="4">
        <v>1.71</v>
      </c>
      <c r="AQ18" s="4">
        <v>8.9600000000000009</v>
      </c>
      <c r="AR18" s="4">
        <v>2.11</v>
      </c>
      <c r="AS18" s="4">
        <v>3.69</v>
      </c>
      <c r="AT18" s="4">
        <v>2.1</v>
      </c>
      <c r="AU18" s="4">
        <v>27.4</v>
      </c>
      <c r="AV18" s="4">
        <v>2.13</v>
      </c>
      <c r="AW18" s="4">
        <v>17.3</v>
      </c>
      <c r="AX18" s="4">
        <v>1.9</v>
      </c>
      <c r="AY18" s="4">
        <v>14.5</v>
      </c>
      <c r="AZ18" s="3"/>
      <c r="BA18" s="4">
        <v>1.33</v>
      </c>
      <c r="BB18" s="4">
        <v>24.1</v>
      </c>
      <c r="BC18" s="4">
        <v>1.1200000000000001</v>
      </c>
      <c r="BD18" s="4">
        <v>34.200000000000003</v>
      </c>
      <c r="BE18" s="4">
        <v>1.88</v>
      </c>
      <c r="BF18" s="4">
        <v>50.8</v>
      </c>
      <c r="BG18" s="4">
        <v>3.44</v>
      </c>
      <c r="BH18" s="4">
        <v>45</v>
      </c>
      <c r="BI18" s="3"/>
      <c r="BJ18" s="3"/>
      <c r="BK18" s="3"/>
      <c r="BL18" s="4">
        <v>1.48</v>
      </c>
      <c r="BM18" s="4">
        <v>13.1</v>
      </c>
      <c r="BN18" s="4">
        <v>1.24</v>
      </c>
      <c r="BO18" s="4">
        <v>21.1</v>
      </c>
      <c r="BP18" s="4">
        <v>1.37</v>
      </c>
      <c r="BQ18" s="4">
        <v>26.1</v>
      </c>
      <c r="BR18" s="4">
        <v>1.31</v>
      </c>
      <c r="BS18" s="4">
        <v>41.6</v>
      </c>
      <c r="BT18" s="4">
        <v>4.38</v>
      </c>
      <c r="BU18" s="4">
        <v>6.19</v>
      </c>
      <c r="BV18" s="4">
        <v>2.2599999999999998</v>
      </c>
      <c r="BW18" s="4">
        <v>58.3</v>
      </c>
      <c r="BX18" s="3"/>
      <c r="BY18" s="4">
        <v>2.0099999999999998</v>
      </c>
      <c r="BZ18" s="4">
        <v>1.22</v>
      </c>
      <c r="CA18" s="78">
        <v>60.8</v>
      </c>
    </row>
    <row r="19" spans="1:79">
      <c r="A19" s="93" t="s">
        <v>15</v>
      </c>
      <c r="B19" s="2">
        <v>0.13200000000000001</v>
      </c>
      <c r="C19" s="2">
        <v>5.8</v>
      </c>
      <c r="D19" s="2">
        <v>0.60099999999999998</v>
      </c>
      <c r="E19" s="2">
        <v>2.73</v>
      </c>
      <c r="F19" s="2">
        <v>0.46200000000000002</v>
      </c>
      <c r="G19" s="2">
        <v>54.1</v>
      </c>
      <c r="H19" s="2">
        <v>0.25700000000000001</v>
      </c>
      <c r="I19" s="2">
        <v>67.099999999999994</v>
      </c>
      <c r="J19" s="5"/>
      <c r="K19" s="5"/>
      <c r="L19" s="2">
        <v>0.34899999999999998</v>
      </c>
      <c r="M19" s="2">
        <v>60.4</v>
      </c>
      <c r="N19" s="2">
        <v>0.42599999999999999</v>
      </c>
      <c r="O19" s="2">
        <v>25.3</v>
      </c>
      <c r="P19" s="2">
        <v>0.35399999999999998</v>
      </c>
      <c r="Q19" s="5"/>
      <c r="R19" s="2">
        <v>0.372</v>
      </c>
      <c r="S19" s="5"/>
      <c r="T19" s="2">
        <v>0.35099999999999998</v>
      </c>
      <c r="U19" s="5"/>
      <c r="V19" s="2">
        <v>0.156</v>
      </c>
      <c r="W19" s="2">
        <v>11.8</v>
      </c>
      <c r="X19" s="2">
        <v>0.16400000000000001</v>
      </c>
      <c r="Y19" s="2">
        <v>9.73</v>
      </c>
      <c r="Z19" s="5"/>
      <c r="AA19" s="5"/>
      <c r="AB19" s="2">
        <v>0.153</v>
      </c>
      <c r="AC19" s="2">
        <v>20.6</v>
      </c>
      <c r="AD19" s="2">
        <v>0.114</v>
      </c>
      <c r="AE19" s="2">
        <v>13.7</v>
      </c>
      <c r="AF19" s="2">
        <v>0.16900000000000001</v>
      </c>
      <c r="AG19" s="2">
        <v>38.4</v>
      </c>
      <c r="AH19" s="2">
        <v>0.29499999999999998</v>
      </c>
      <c r="AI19" s="5"/>
      <c r="AJ19" s="2">
        <v>0.253</v>
      </c>
      <c r="AK19" s="2">
        <v>9.83</v>
      </c>
      <c r="AL19" s="2">
        <v>0.187</v>
      </c>
      <c r="AM19" s="2">
        <v>16.5</v>
      </c>
      <c r="AN19" s="2">
        <v>0.15</v>
      </c>
      <c r="AO19" s="2">
        <v>35.799999999999997</v>
      </c>
      <c r="AP19" s="2">
        <v>0.20399999999999999</v>
      </c>
      <c r="AQ19" s="2">
        <v>38.4</v>
      </c>
      <c r="AR19" s="2">
        <v>0.23100000000000001</v>
      </c>
      <c r="AS19" s="2">
        <v>2.79</v>
      </c>
      <c r="AT19" s="2">
        <v>0.27700000000000002</v>
      </c>
      <c r="AU19" s="2">
        <v>30.8</v>
      </c>
      <c r="AV19" s="2">
        <v>0.29199999999999998</v>
      </c>
      <c r="AW19" s="2">
        <v>14.7</v>
      </c>
      <c r="AX19" s="2">
        <v>0.25</v>
      </c>
      <c r="AY19" s="2">
        <v>3.2</v>
      </c>
      <c r="AZ19" s="5"/>
      <c r="BA19" s="2">
        <v>0.106</v>
      </c>
      <c r="BB19" s="2">
        <v>18.2</v>
      </c>
      <c r="BC19" s="2">
        <v>0.14899999999999999</v>
      </c>
      <c r="BD19" s="2">
        <v>31.1</v>
      </c>
      <c r="BE19" s="2">
        <v>0.217</v>
      </c>
      <c r="BF19" s="2">
        <v>11.4</v>
      </c>
      <c r="BG19" s="2">
        <v>0.13400000000000001</v>
      </c>
      <c r="BH19" s="2">
        <v>22.5</v>
      </c>
      <c r="BI19" s="5"/>
      <c r="BJ19" s="5"/>
      <c r="BK19" s="5"/>
      <c r="BL19" s="2">
        <v>0.129</v>
      </c>
      <c r="BM19" s="2">
        <v>38.5</v>
      </c>
      <c r="BN19" s="2">
        <v>0.13600000000000001</v>
      </c>
      <c r="BO19" s="2">
        <v>6.91</v>
      </c>
      <c r="BP19" s="2">
        <v>0.112</v>
      </c>
      <c r="BQ19" s="2">
        <v>51.8</v>
      </c>
      <c r="BR19" s="2">
        <v>0.187</v>
      </c>
      <c r="BS19" s="2">
        <v>25.9</v>
      </c>
      <c r="BT19" s="2">
        <v>0.69599999999999995</v>
      </c>
      <c r="BU19" s="2">
        <v>1.59</v>
      </c>
      <c r="BV19" s="2">
        <v>0.26600000000000001</v>
      </c>
      <c r="BW19" s="2">
        <v>0</v>
      </c>
      <c r="BX19" s="5"/>
      <c r="BY19" s="2">
        <v>0.254</v>
      </c>
      <c r="BZ19" s="2">
        <v>0.224</v>
      </c>
      <c r="CA19" s="79">
        <v>87.9</v>
      </c>
    </row>
    <row r="20" spans="1:79">
      <c r="A20" s="93" t="s">
        <v>16</v>
      </c>
      <c r="B20" s="4">
        <v>0.28799999999999998</v>
      </c>
      <c r="C20" s="4">
        <v>11.9</v>
      </c>
      <c r="D20" s="4">
        <v>1.3</v>
      </c>
      <c r="E20" s="3"/>
      <c r="F20" s="4">
        <v>0.94499999999999995</v>
      </c>
      <c r="G20" s="3"/>
      <c r="H20" s="4">
        <v>0.75700000000000001</v>
      </c>
      <c r="I20" s="3"/>
      <c r="J20" s="3"/>
      <c r="K20" s="3"/>
      <c r="L20" s="4">
        <v>1</v>
      </c>
      <c r="M20" s="3"/>
      <c r="N20" s="4">
        <v>0.627</v>
      </c>
      <c r="O20" s="3"/>
      <c r="P20" s="4">
        <v>0.34699999999999998</v>
      </c>
      <c r="Q20" s="3"/>
      <c r="R20" s="4">
        <v>0.55700000000000005</v>
      </c>
      <c r="S20" s="3"/>
      <c r="T20" s="3"/>
      <c r="U20" s="3"/>
      <c r="V20" s="4">
        <v>0.124</v>
      </c>
      <c r="W20" s="4">
        <v>17.5</v>
      </c>
      <c r="X20" s="4">
        <v>0.14199999999999999</v>
      </c>
      <c r="Y20" s="4">
        <v>17.8</v>
      </c>
      <c r="Z20" s="4">
        <v>0.32</v>
      </c>
      <c r="AA20" s="4">
        <v>5.38</v>
      </c>
      <c r="AB20" s="4">
        <v>5.9899999999999997E-3</v>
      </c>
      <c r="AC20" s="4">
        <v>47.1</v>
      </c>
      <c r="AD20" s="4">
        <v>0.24199999999999999</v>
      </c>
      <c r="AE20" s="4">
        <v>16.600000000000001</v>
      </c>
      <c r="AF20" s="4">
        <v>0.219</v>
      </c>
      <c r="AG20" s="4">
        <v>48.1</v>
      </c>
      <c r="AH20" s="4">
        <v>0.152</v>
      </c>
      <c r="AI20" s="3"/>
      <c r="AJ20" s="4">
        <v>0.26</v>
      </c>
      <c r="AK20" s="4">
        <v>61.1</v>
      </c>
      <c r="AL20" s="4">
        <v>0.93400000000000005</v>
      </c>
      <c r="AM20" s="4">
        <v>5.24</v>
      </c>
      <c r="AN20" s="4">
        <v>0.443</v>
      </c>
      <c r="AO20" s="4">
        <v>49.9</v>
      </c>
      <c r="AP20" s="4">
        <v>0.54400000000000004</v>
      </c>
      <c r="AQ20" s="4">
        <v>11.6</v>
      </c>
      <c r="AR20" s="4">
        <v>0.502</v>
      </c>
      <c r="AS20" s="4">
        <v>23.2</v>
      </c>
      <c r="AT20" s="4">
        <v>0.46600000000000003</v>
      </c>
      <c r="AU20" s="4">
        <v>16.100000000000001</v>
      </c>
      <c r="AV20" s="4">
        <v>0.38900000000000001</v>
      </c>
      <c r="AW20" s="4">
        <v>11.8</v>
      </c>
      <c r="AX20" s="4">
        <v>0.219</v>
      </c>
      <c r="AY20" s="4">
        <v>14.4</v>
      </c>
      <c r="AZ20" s="3"/>
      <c r="BA20" s="4">
        <v>0.63500000000000001</v>
      </c>
      <c r="BB20" s="4">
        <v>23.8</v>
      </c>
      <c r="BC20" s="4">
        <v>0.34100000000000003</v>
      </c>
      <c r="BD20" s="4">
        <v>41.7</v>
      </c>
      <c r="BE20" s="4">
        <v>0.80400000000000005</v>
      </c>
      <c r="BF20" s="4">
        <v>37</v>
      </c>
      <c r="BG20" s="4">
        <v>1.18</v>
      </c>
      <c r="BH20" s="4">
        <v>39.200000000000003</v>
      </c>
      <c r="BI20" s="3"/>
      <c r="BJ20" s="3"/>
      <c r="BK20" s="3"/>
      <c r="BL20" s="4">
        <v>0.56599999999999995</v>
      </c>
      <c r="BM20" s="4">
        <v>15.1</v>
      </c>
      <c r="BN20" s="4">
        <v>0.376</v>
      </c>
      <c r="BO20" s="4">
        <v>14.7</v>
      </c>
      <c r="BP20" s="4">
        <v>0.28799999999999998</v>
      </c>
      <c r="BQ20" s="4">
        <v>59.5</v>
      </c>
      <c r="BR20" s="4">
        <v>0.82499999999999996</v>
      </c>
      <c r="BS20" s="4">
        <v>19.600000000000001</v>
      </c>
      <c r="BT20" s="4">
        <v>1.45</v>
      </c>
      <c r="BU20" s="4">
        <v>0</v>
      </c>
      <c r="BV20" s="4">
        <v>0.55400000000000005</v>
      </c>
      <c r="BW20" s="4">
        <v>0</v>
      </c>
      <c r="BX20" s="3"/>
      <c r="BY20" s="4">
        <v>0.67600000000000005</v>
      </c>
      <c r="BZ20" s="4">
        <v>0.42099999999999999</v>
      </c>
      <c r="CA20" s="78">
        <v>62.2</v>
      </c>
    </row>
    <row r="21" spans="1:79">
      <c r="A21" s="93" t="s">
        <v>17</v>
      </c>
      <c r="B21" s="2">
        <v>0.16500000000000001</v>
      </c>
      <c r="C21" s="2">
        <v>27.9</v>
      </c>
      <c r="D21" s="2">
        <v>0.49</v>
      </c>
      <c r="E21" s="2">
        <v>49.3</v>
      </c>
      <c r="F21" s="2">
        <v>0.61</v>
      </c>
      <c r="G21" s="2">
        <v>26.3</v>
      </c>
      <c r="H21" s="2">
        <v>0.53</v>
      </c>
      <c r="I21" s="2">
        <v>33.799999999999997</v>
      </c>
      <c r="J21" s="5"/>
      <c r="K21" s="5"/>
      <c r="L21" s="2">
        <v>0.38300000000000001</v>
      </c>
      <c r="M21" s="2">
        <v>34.799999999999997</v>
      </c>
      <c r="N21" s="2">
        <v>0.66700000000000004</v>
      </c>
      <c r="O21" s="2">
        <v>18.899999999999999</v>
      </c>
      <c r="P21" s="2">
        <v>0.24199999999999999</v>
      </c>
      <c r="Q21" s="2">
        <v>91.2</v>
      </c>
      <c r="R21" s="2">
        <v>0.33900000000000002</v>
      </c>
      <c r="S21" s="2">
        <v>38.5</v>
      </c>
      <c r="T21" s="2">
        <v>0.54100000000000004</v>
      </c>
      <c r="U21" s="2">
        <v>24.2</v>
      </c>
      <c r="V21" s="2">
        <v>0.26200000000000001</v>
      </c>
      <c r="W21" s="2">
        <v>17.399999999999999</v>
      </c>
      <c r="X21" s="2">
        <v>0.33800000000000002</v>
      </c>
      <c r="Y21" s="2">
        <v>33.200000000000003</v>
      </c>
      <c r="Z21" s="2">
        <v>0.16200000000000001</v>
      </c>
      <c r="AA21" s="2">
        <v>27.8</v>
      </c>
      <c r="AB21" s="2">
        <v>0.17199999999999999</v>
      </c>
      <c r="AC21" s="2">
        <v>29.5</v>
      </c>
      <c r="AD21" s="2">
        <v>4.45E-3</v>
      </c>
      <c r="AE21" s="2">
        <v>40.700000000000003</v>
      </c>
      <c r="AF21" s="2">
        <v>0.34300000000000003</v>
      </c>
      <c r="AG21" s="2">
        <v>36.6</v>
      </c>
      <c r="AH21" s="2">
        <v>0.27600000000000002</v>
      </c>
      <c r="AI21" s="2">
        <v>9.99</v>
      </c>
      <c r="AJ21" s="2">
        <v>0.34300000000000003</v>
      </c>
      <c r="AK21" s="2">
        <v>20.9</v>
      </c>
      <c r="AL21" s="2">
        <v>0.154</v>
      </c>
      <c r="AM21" s="2">
        <v>20.100000000000001</v>
      </c>
      <c r="AN21" s="2">
        <v>0.223</v>
      </c>
      <c r="AO21" s="2">
        <v>21.2</v>
      </c>
      <c r="AP21" s="2">
        <v>0.23699999999999999</v>
      </c>
      <c r="AQ21" s="2">
        <v>31.5</v>
      </c>
      <c r="AR21" s="2">
        <v>0.377</v>
      </c>
      <c r="AS21" s="2">
        <v>18.2</v>
      </c>
      <c r="AT21" s="2">
        <v>0.224</v>
      </c>
      <c r="AU21" s="2">
        <v>9.64</v>
      </c>
      <c r="AV21" s="2">
        <v>0.39700000000000002</v>
      </c>
      <c r="AW21" s="2">
        <v>10.199999999999999</v>
      </c>
      <c r="AX21" s="2">
        <v>0.32300000000000001</v>
      </c>
      <c r="AY21" s="2">
        <v>25.2</v>
      </c>
      <c r="AZ21" s="5"/>
      <c r="BA21" s="2">
        <v>0.13900000000000001</v>
      </c>
      <c r="BB21" s="2">
        <v>37.4</v>
      </c>
      <c r="BC21" s="2">
        <v>0.112</v>
      </c>
      <c r="BD21" s="2">
        <v>31.8</v>
      </c>
      <c r="BE21" s="2">
        <v>6.2199999999999998E-2</v>
      </c>
      <c r="BF21" s="2">
        <v>27.3</v>
      </c>
      <c r="BG21" s="2">
        <v>0.10100000000000001</v>
      </c>
      <c r="BH21" s="2">
        <v>81</v>
      </c>
      <c r="BI21" s="5"/>
      <c r="BJ21" s="5"/>
      <c r="BK21" s="5"/>
      <c r="BL21" s="2">
        <v>0.34499999999999997</v>
      </c>
      <c r="BM21" s="2">
        <v>5.31</v>
      </c>
      <c r="BN21" s="2">
        <v>0.18099999999999999</v>
      </c>
      <c r="BO21" s="2">
        <v>42.9</v>
      </c>
      <c r="BP21" s="2">
        <v>0.23899999999999999</v>
      </c>
      <c r="BQ21" s="2">
        <v>31</v>
      </c>
      <c r="BR21" s="2">
        <v>0.155</v>
      </c>
      <c r="BS21" s="2">
        <v>31.3</v>
      </c>
      <c r="BT21" s="2">
        <v>0.56499999999999995</v>
      </c>
      <c r="BU21" s="2">
        <v>42.8</v>
      </c>
      <c r="BV21" s="2">
        <v>0.44900000000000001</v>
      </c>
      <c r="BW21" s="2">
        <v>12.1</v>
      </c>
      <c r="BX21" s="5"/>
      <c r="BY21" s="2">
        <v>0.32200000000000001</v>
      </c>
      <c r="BZ21" s="2">
        <v>0.16200000000000001</v>
      </c>
      <c r="CA21" s="79">
        <v>50.1</v>
      </c>
    </row>
    <row r="22" spans="1:79">
      <c r="A22" s="93" t="s">
        <v>18</v>
      </c>
      <c r="B22" s="4">
        <v>3.2000000000000001E-2</v>
      </c>
      <c r="C22" s="4">
        <v>17.7</v>
      </c>
      <c r="D22" s="4">
        <v>0.14299999999999999</v>
      </c>
      <c r="E22" s="4">
        <v>1</v>
      </c>
      <c r="F22" s="4">
        <v>0.16500000000000001</v>
      </c>
      <c r="G22" s="4">
        <v>14.3</v>
      </c>
      <c r="H22" s="4">
        <v>0.111</v>
      </c>
      <c r="I22" s="4">
        <v>18</v>
      </c>
      <c r="J22" s="3"/>
      <c r="K22" s="3"/>
      <c r="L22" s="4">
        <v>0.106</v>
      </c>
      <c r="M22" s="4">
        <v>9.83</v>
      </c>
      <c r="N22" s="4">
        <v>0.10299999999999999</v>
      </c>
      <c r="O22" s="4">
        <v>24.5</v>
      </c>
      <c r="P22" s="4">
        <v>0.152</v>
      </c>
      <c r="Q22" s="4">
        <v>4.71</v>
      </c>
      <c r="R22" s="4">
        <v>0.17799999999999999</v>
      </c>
      <c r="S22" s="4">
        <v>8.84</v>
      </c>
      <c r="T22" s="4">
        <v>0.219</v>
      </c>
      <c r="U22" s="4">
        <v>1.76</v>
      </c>
      <c r="V22" s="4">
        <v>7.7399999999999997E-2</v>
      </c>
      <c r="W22" s="4">
        <v>19.100000000000001</v>
      </c>
      <c r="X22" s="4">
        <v>6.6699999999999995E-2</v>
      </c>
      <c r="Y22" s="4">
        <v>25.6</v>
      </c>
      <c r="Z22" s="4">
        <v>4.1399999999999999E-2</v>
      </c>
      <c r="AA22" s="4">
        <v>2.82</v>
      </c>
      <c r="AB22" s="4">
        <v>3.8300000000000001E-2</v>
      </c>
      <c r="AC22" s="4">
        <v>1.8</v>
      </c>
      <c r="AD22" s="4">
        <v>4.0500000000000001E-2</v>
      </c>
      <c r="AE22" s="4">
        <v>6.21</v>
      </c>
      <c r="AF22" s="3"/>
      <c r="AG22" s="3"/>
      <c r="AH22" s="4">
        <v>0.19800000000000001</v>
      </c>
      <c r="AI22" s="4">
        <v>45.6</v>
      </c>
      <c r="AJ22" s="4">
        <v>7.2400000000000006E-2</v>
      </c>
      <c r="AK22" s="4">
        <v>2.21</v>
      </c>
      <c r="AL22" s="4">
        <v>9.2799999999999994E-2</v>
      </c>
      <c r="AM22" s="4">
        <v>29.1</v>
      </c>
      <c r="AN22" s="4">
        <v>6.1699999999999998E-2</v>
      </c>
      <c r="AO22" s="4">
        <v>50.9</v>
      </c>
      <c r="AP22" s="4">
        <v>0.10199999999999999</v>
      </c>
      <c r="AQ22" s="4">
        <v>2.71</v>
      </c>
      <c r="AR22" s="4">
        <v>7.5499999999999998E-2</v>
      </c>
      <c r="AS22" s="4">
        <v>31.8</v>
      </c>
      <c r="AT22" s="4">
        <v>6.4799999999999996E-2</v>
      </c>
      <c r="AU22" s="4">
        <v>58.4</v>
      </c>
      <c r="AV22" s="4">
        <v>7.7100000000000002E-2</v>
      </c>
      <c r="AW22" s="4">
        <v>3.13</v>
      </c>
      <c r="AX22" s="4">
        <v>5.3800000000000001E-2</v>
      </c>
      <c r="AY22" s="4">
        <v>33.4</v>
      </c>
      <c r="AZ22" s="3"/>
      <c r="BA22" s="4">
        <v>0</v>
      </c>
      <c r="BB22" s="4">
        <v>19.100000000000001</v>
      </c>
      <c r="BC22" s="4">
        <v>0</v>
      </c>
      <c r="BD22" s="4">
        <v>14.5</v>
      </c>
      <c r="BE22" s="4">
        <v>0</v>
      </c>
      <c r="BF22" s="4">
        <v>18.899999999999999</v>
      </c>
      <c r="BG22" s="4">
        <v>0</v>
      </c>
      <c r="BH22" s="4">
        <v>9.84</v>
      </c>
      <c r="BI22" s="3"/>
      <c r="BJ22" s="3"/>
      <c r="BK22" s="3"/>
      <c r="BL22" s="4">
        <v>6.8599999999999994E-2</v>
      </c>
      <c r="BM22" s="4">
        <v>35.700000000000003</v>
      </c>
      <c r="BN22" s="4">
        <v>4.2799999999999998E-2</v>
      </c>
      <c r="BO22" s="4">
        <v>2.35</v>
      </c>
      <c r="BP22" s="4">
        <v>5.5199999999999999E-2</v>
      </c>
      <c r="BQ22" s="4">
        <v>6.37</v>
      </c>
      <c r="BR22" s="4">
        <v>0</v>
      </c>
      <c r="BS22" s="4">
        <v>12.6</v>
      </c>
      <c r="BT22" s="4">
        <v>0.13600000000000001</v>
      </c>
      <c r="BU22" s="4">
        <v>3.33</v>
      </c>
      <c r="BV22" s="4">
        <v>0.155</v>
      </c>
      <c r="BW22" s="4">
        <v>0.64600000000000002</v>
      </c>
      <c r="BX22" s="3"/>
      <c r="BY22" s="4">
        <v>7.6300000000000007E-2</v>
      </c>
      <c r="BZ22" s="4">
        <v>5.8700000000000002E-2</v>
      </c>
      <c r="CA22" s="78">
        <v>77</v>
      </c>
    </row>
    <row r="23" spans="1:79">
      <c r="A23" s="93" t="s">
        <v>19</v>
      </c>
      <c r="B23" s="2">
        <v>9.0800000000000006E-2</v>
      </c>
      <c r="C23" s="2">
        <v>17.2</v>
      </c>
      <c r="D23" s="2">
        <v>0.129</v>
      </c>
      <c r="E23" s="2">
        <v>53.7</v>
      </c>
      <c r="F23" s="2">
        <v>0.14699999999999999</v>
      </c>
      <c r="G23" s="2">
        <v>64.5</v>
      </c>
      <c r="H23" s="2">
        <v>0.16200000000000001</v>
      </c>
      <c r="I23" s="2">
        <v>8.1300000000000008</v>
      </c>
      <c r="J23" s="5"/>
      <c r="K23" s="5"/>
      <c r="L23" s="2">
        <v>0.34200000000000003</v>
      </c>
      <c r="M23" s="2">
        <v>5.52</v>
      </c>
      <c r="N23" s="2">
        <v>0.221</v>
      </c>
      <c r="O23" s="2">
        <v>7.16</v>
      </c>
      <c r="P23" s="2">
        <v>0.154</v>
      </c>
      <c r="Q23" s="2">
        <v>20.9</v>
      </c>
      <c r="R23" s="2">
        <v>0.19</v>
      </c>
      <c r="S23" s="2">
        <v>48.7</v>
      </c>
      <c r="T23" s="2">
        <v>0.17799999999999999</v>
      </c>
      <c r="U23" s="2">
        <v>51.1</v>
      </c>
      <c r="V23" s="2">
        <v>7.9600000000000004E-2</v>
      </c>
      <c r="W23" s="2">
        <v>21.5</v>
      </c>
      <c r="X23" s="2">
        <v>6.93E-2</v>
      </c>
      <c r="Y23" s="2">
        <v>18.399999999999999</v>
      </c>
      <c r="Z23" s="2">
        <v>8.7599999999999997E-2</v>
      </c>
      <c r="AA23" s="2">
        <v>4.4400000000000004</v>
      </c>
      <c r="AB23" s="2">
        <v>9.6100000000000005E-2</v>
      </c>
      <c r="AC23" s="2">
        <v>12.5</v>
      </c>
      <c r="AD23" s="2">
        <v>8.7999999999999995E-2</v>
      </c>
      <c r="AE23" s="2">
        <v>19.7</v>
      </c>
      <c r="AF23" s="2">
        <v>8.7499999999999994E-2</v>
      </c>
      <c r="AG23" s="2">
        <v>23.6</v>
      </c>
      <c r="AH23" s="2">
        <v>1.6899999999999998E-2</v>
      </c>
      <c r="AI23" s="2">
        <v>123</v>
      </c>
      <c r="AJ23" s="2">
        <v>0.107</v>
      </c>
      <c r="AK23" s="2">
        <v>24.6</v>
      </c>
      <c r="AL23" s="2">
        <v>9.5399999999999999E-2</v>
      </c>
      <c r="AM23" s="2">
        <v>0.47399999999999998</v>
      </c>
      <c r="AN23" s="2">
        <v>0.10199999999999999</v>
      </c>
      <c r="AO23" s="2">
        <v>13.4</v>
      </c>
      <c r="AP23" s="2">
        <v>9.9599999999999994E-2</v>
      </c>
      <c r="AQ23" s="2">
        <v>14.3</v>
      </c>
      <c r="AR23" s="2">
        <v>0.13300000000000001</v>
      </c>
      <c r="AS23" s="2">
        <v>23.1</v>
      </c>
      <c r="AT23" s="2">
        <v>0.123</v>
      </c>
      <c r="AU23" s="2">
        <v>18.600000000000001</v>
      </c>
      <c r="AV23" s="2">
        <v>0.13100000000000001</v>
      </c>
      <c r="AW23" s="2">
        <v>30.1</v>
      </c>
      <c r="AX23" s="2">
        <v>0.125</v>
      </c>
      <c r="AY23" s="2">
        <v>43.5</v>
      </c>
      <c r="AZ23" s="5"/>
      <c r="BA23" s="2">
        <v>0.105</v>
      </c>
      <c r="BB23" s="2">
        <v>18.7</v>
      </c>
      <c r="BC23" s="2">
        <v>3.5499999999999997E-2</v>
      </c>
      <c r="BD23" s="2">
        <v>16.399999999999999</v>
      </c>
      <c r="BE23" s="2">
        <v>3.4200000000000001E-2</v>
      </c>
      <c r="BF23" s="2">
        <v>31.8</v>
      </c>
      <c r="BG23" s="2">
        <v>3.2899999999999999E-2</v>
      </c>
      <c r="BH23" s="2">
        <v>14.4</v>
      </c>
      <c r="BI23" s="5"/>
      <c r="BJ23" s="5"/>
      <c r="BK23" s="5"/>
      <c r="BL23" s="2">
        <v>9.9599999999999994E-2</v>
      </c>
      <c r="BM23" s="2">
        <v>8.94</v>
      </c>
      <c r="BN23" s="2">
        <v>9.2700000000000005E-2</v>
      </c>
      <c r="BO23" s="2">
        <v>3.38</v>
      </c>
      <c r="BP23" s="2">
        <v>6.4100000000000004E-2</v>
      </c>
      <c r="BQ23" s="2">
        <v>6.75</v>
      </c>
      <c r="BR23" s="2">
        <v>8.6599999999999996E-2</v>
      </c>
      <c r="BS23" s="2">
        <v>62.2</v>
      </c>
      <c r="BT23" s="2">
        <v>0.38800000000000001</v>
      </c>
      <c r="BU23" s="2">
        <v>116</v>
      </c>
      <c r="BV23" s="2">
        <v>0.183</v>
      </c>
      <c r="BW23" s="2">
        <v>54.7</v>
      </c>
      <c r="BX23" s="5"/>
      <c r="BY23" s="2">
        <v>0.152</v>
      </c>
      <c r="BZ23" s="2">
        <v>0.122</v>
      </c>
      <c r="CA23" s="79">
        <v>80.3</v>
      </c>
    </row>
    <row r="24" spans="1:79">
      <c r="A24" s="93" t="s">
        <v>20</v>
      </c>
      <c r="B24" s="4">
        <v>7.8600000000000003E-2</v>
      </c>
      <c r="C24" s="4">
        <v>1.8</v>
      </c>
      <c r="D24" s="4">
        <v>0.443</v>
      </c>
      <c r="E24" s="4">
        <v>34.200000000000003</v>
      </c>
      <c r="F24" s="4">
        <v>0.88200000000000001</v>
      </c>
      <c r="G24" s="4">
        <v>0.34899999999999998</v>
      </c>
      <c r="H24" s="4">
        <v>0.81599999999999995</v>
      </c>
      <c r="I24" s="4">
        <v>20.100000000000001</v>
      </c>
      <c r="J24" s="3"/>
      <c r="K24" s="3"/>
      <c r="L24" s="4">
        <v>0.88400000000000001</v>
      </c>
      <c r="M24" s="4">
        <v>3.2</v>
      </c>
      <c r="N24" s="4">
        <v>0.69099999999999995</v>
      </c>
      <c r="O24" s="4">
        <v>21.8</v>
      </c>
      <c r="P24" s="4">
        <v>0.318</v>
      </c>
      <c r="Q24" s="4">
        <v>12.4</v>
      </c>
      <c r="R24" s="4">
        <v>0.48</v>
      </c>
      <c r="S24" s="4">
        <v>1.03</v>
      </c>
      <c r="T24" s="4">
        <v>0.38700000000000001</v>
      </c>
      <c r="U24" s="4">
        <v>38.299999999999997</v>
      </c>
      <c r="V24" s="4">
        <v>0.42099999999999999</v>
      </c>
      <c r="W24" s="4">
        <v>7.05</v>
      </c>
      <c r="X24" s="4">
        <v>0.40300000000000002</v>
      </c>
      <c r="Y24" s="4">
        <v>45.4</v>
      </c>
      <c r="Z24" s="4">
        <v>0.1</v>
      </c>
      <c r="AA24" s="4">
        <v>3.88</v>
      </c>
      <c r="AB24" s="4">
        <v>8.9200000000000002E-2</v>
      </c>
      <c r="AC24" s="4">
        <v>1.29</v>
      </c>
      <c r="AD24" s="4">
        <v>7.5399999999999995E-2</v>
      </c>
      <c r="AE24" s="4">
        <v>15.6</v>
      </c>
      <c r="AF24" s="4">
        <v>0.32800000000000001</v>
      </c>
      <c r="AG24" s="4">
        <v>6.55</v>
      </c>
      <c r="AH24" s="4">
        <v>0.32500000000000001</v>
      </c>
      <c r="AI24" s="4">
        <v>8.7899999999999991</v>
      </c>
      <c r="AJ24" s="3"/>
      <c r="AK24" s="3"/>
      <c r="AL24" s="4">
        <v>0.26300000000000001</v>
      </c>
      <c r="AM24" s="4">
        <v>35.200000000000003</v>
      </c>
      <c r="AN24" s="4">
        <v>7.9200000000000007E-2</v>
      </c>
      <c r="AO24" s="4">
        <v>29.8</v>
      </c>
      <c r="AP24" s="4">
        <v>0.11</v>
      </c>
      <c r="AQ24" s="4">
        <v>32.200000000000003</v>
      </c>
      <c r="AR24" s="4">
        <v>0.115</v>
      </c>
      <c r="AS24" s="4">
        <v>49.6</v>
      </c>
      <c r="AT24" s="4">
        <v>0.13300000000000001</v>
      </c>
      <c r="AU24" s="4">
        <v>45.6</v>
      </c>
      <c r="AV24" s="4">
        <v>0.126</v>
      </c>
      <c r="AW24" s="4">
        <v>32.299999999999997</v>
      </c>
      <c r="AX24" s="4">
        <v>0.105</v>
      </c>
      <c r="AY24" s="4">
        <v>7.11</v>
      </c>
      <c r="AZ24" s="3"/>
      <c r="BA24" s="4">
        <v>0.19600000000000001</v>
      </c>
      <c r="BB24" s="4">
        <v>34.799999999999997</v>
      </c>
      <c r="BC24" s="3"/>
      <c r="BD24" s="3"/>
      <c r="BE24" s="4">
        <v>0.58099999999999996</v>
      </c>
      <c r="BF24" s="4">
        <v>30</v>
      </c>
      <c r="BG24" s="4">
        <v>0.67500000000000004</v>
      </c>
      <c r="BH24" s="4">
        <v>22.2</v>
      </c>
      <c r="BI24" s="3"/>
      <c r="BJ24" s="3"/>
      <c r="BK24" s="3"/>
      <c r="BL24" s="4">
        <v>8.8800000000000004E-2</v>
      </c>
      <c r="BM24" s="4">
        <v>34.200000000000003</v>
      </c>
      <c r="BN24" s="4">
        <v>6.3500000000000001E-2</v>
      </c>
      <c r="BO24" s="4">
        <v>44.4</v>
      </c>
      <c r="BP24" s="4">
        <v>0.25600000000000001</v>
      </c>
      <c r="BQ24" s="4">
        <v>10.3</v>
      </c>
      <c r="BR24" s="4">
        <v>0.36499999999999999</v>
      </c>
      <c r="BS24" s="4">
        <v>16.100000000000001</v>
      </c>
      <c r="BT24" s="4">
        <v>0.88600000000000001</v>
      </c>
      <c r="BU24" s="4">
        <v>29</v>
      </c>
      <c r="BV24" s="4">
        <v>0.36599999999999999</v>
      </c>
      <c r="BW24" s="4">
        <v>1.92</v>
      </c>
      <c r="BX24" s="3"/>
      <c r="BY24" s="4">
        <v>0.33800000000000002</v>
      </c>
      <c r="BZ24" s="4">
        <v>0.29899999999999999</v>
      </c>
      <c r="CA24" s="78">
        <v>88.5</v>
      </c>
    </row>
    <row r="25" spans="1:79">
      <c r="A25" s="93" t="s">
        <v>21</v>
      </c>
      <c r="B25" s="2">
        <v>4.3299999999999998E-2</v>
      </c>
      <c r="C25" s="2">
        <v>21.8</v>
      </c>
      <c r="D25" s="2">
        <v>0.113</v>
      </c>
      <c r="E25" s="2">
        <v>35.9</v>
      </c>
      <c r="F25" s="2">
        <v>0.14499999999999999</v>
      </c>
      <c r="G25" s="2">
        <v>45.5</v>
      </c>
      <c r="H25" s="2">
        <v>9.0800000000000006E-2</v>
      </c>
      <c r="I25" s="2">
        <v>90.1</v>
      </c>
      <c r="J25" s="5"/>
      <c r="K25" s="5"/>
      <c r="L25" s="2">
        <v>0.186</v>
      </c>
      <c r="M25" s="2">
        <v>106</v>
      </c>
      <c r="N25" s="2">
        <v>0.10100000000000001</v>
      </c>
      <c r="O25" s="2">
        <v>84.5</v>
      </c>
      <c r="P25" s="2">
        <v>4.65E-2</v>
      </c>
      <c r="Q25" s="2">
        <v>52.1</v>
      </c>
      <c r="R25" s="2">
        <v>0.129</v>
      </c>
      <c r="S25" s="2">
        <v>13.5</v>
      </c>
      <c r="T25" s="2">
        <v>0.17100000000000001</v>
      </c>
      <c r="U25" s="2">
        <v>47.2</v>
      </c>
      <c r="V25" s="2">
        <v>0.123</v>
      </c>
      <c r="W25" s="2">
        <v>52.7</v>
      </c>
      <c r="X25" s="2">
        <v>8.6199999999999999E-2</v>
      </c>
      <c r="Y25" s="2">
        <v>59.5</v>
      </c>
      <c r="Z25" s="2">
        <v>4.99E-2</v>
      </c>
      <c r="AA25" s="2">
        <v>16.2</v>
      </c>
      <c r="AB25" s="2">
        <v>4.5699999999999998E-2</v>
      </c>
      <c r="AC25" s="2">
        <v>25.2</v>
      </c>
      <c r="AD25" s="2">
        <v>4.2900000000000001E-2</v>
      </c>
      <c r="AE25" s="2">
        <v>11.7</v>
      </c>
      <c r="AF25" s="2">
        <v>0.121</v>
      </c>
      <c r="AG25" s="2">
        <v>14</v>
      </c>
      <c r="AH25" s="2">
        <v>3.8399999999999997E-2</v>
      </c>
      <c r="AI25" s="2">
        <v>60.9</v>
      </c>
      <c r="AJ25" s="2">
        <v>7.22E-2</v>
      </c>
      <c r="AK25" s="2">
        <v>24.6</v>
      </c>
      <c r="AL25" s="2">
        <v>5.3800000000000002E-3</v>
      </c>
      <c r="AM25" s="2">
        <v>141</v>
      </c>
      <c r="AN25" s="2">
        <v>5.5599999999999997E-2</v>
      </c>
      <c r="AO25" s="2">
        <v>7.49</v>
      </c>
      <c r="AP25" s="2">
        <v>7.2599999999999998E-2</v>
      </c>
      <c r="AQ25" s="2">
        <v>33.799999999999997</v>
      </c>
      <c r="AR25" s="2">
        <v>6.4199999999999993E-2</v>
      </c>
      <c r="AS25" s="2">
        <v>45.1</v>
      </c>
      <c r="AT25" s="2">
        <v>8.8499999999999995E-2</v>
      </c>
      <c r="AU25" s="2">
        <v>23.1</v>
      </c>
      <c r="AV25" s="2">
        <v>8.5300000000000001E-2</v>
      </c>
      <c r="AW25" s="2">
        <v>2.0699999999999998</v>
      </c>
      <c r="AX25" s="2">
        <v>7.0599999999999996E-2</v>
      </c>
      <c r="AY25" s="2">
        <v>25.5</v>
      </c>
      <c r="AZ25" s="5"/>
      <c r="BA25" s="2">
        <v>3.1699999999999999E-2</v>
      </c>
      <c r="BB25" s="2">
        <v>16.3</v>
      </c>
      <c r="BC25" s="2">
        <v>1.1900000000000001E-2</v>
      </c>
      <c r="BD25" s="2">
        <v>8.85</v>
      </c>
      <c r="BE25" s="2">
        <v>4.2099999999999999E-2</v>
      </c>
      <c r="BF25" s="2">
        <v>16.600000000000001</v>
      </c>
      <c r="BG25" s="2">
        <v>3.8600000000000002E-2</v>
      </c>
      <c r="BH25" s="2">
        <v>17.8</v>
      </c>
      <c r="BI25" s="5"/>
      <c r="BJ25" s="5"/>
      <c r="BK25" s="5"/>
      <c r="BL25" s="2">
        <v>3.5700000000000003E-2</v>
      </c>
      <c r="BM25" s="2">
        <v>14.5</v>
      </c>
      <c r="BN25" s="2">
        <v>5.1900000000000002E-2</v>
      </c>
      <c r="BO25" s="2">
        <v>22.6</v>
      </c>
      <c r="BP25" s="2">
        <v>5.9499999999999997E-2</v>
      </c>
      <c r="BQ25" s="2">
        <v>10.7</v>
      </c>
      <c r="BR25" s="2">
        <v>5.0799999999999998E-2</v>
      </c>
      <c r="BS25" s="2">
        <v>12.1</v>
      </c>
      <c r="BT25" s="2">
        <v>0.30299999999999999</v>
      </c>
      <c r="BU25" s="2">
        <v>109</v>
      </c>
      <c r="BV25" s="2">
        <v>9.7000000000000003E-2</v>
      </c>
      <c r="BW25" s="2">
        <v>49.3</v>
      </c>
      <c r="BX25" s="5"/>
      <c r="BY25" s="2">
        <v>9.9599999999999994E-2</v>
      </c>
      <c r="BZ25" s="2">
        <v>0.10199999999999999</v>
      </c>
      <c r="CA25" s="79">
        <v>102</v>
      </c>
    </row>
    <row r="26" spans="1:79">
      <c r="A26" s="93" t="s">
        <v>22</v>
      </c>
      <c r="B26" s="4">
        <v>2.35E-2</v>
      </c>
      <c r="C26" s="4">
        <v>18.600000000000001</v>
      </c>
      <c r="D26" s="4">
        <v>0.121</v>
      </c>
      <c r="E26" s="3"/>
      <c r="F26" s="4">
        <v>6.0699999999999997E-2</v>
      </c>
      <c r="G26" s="3"/>
      <c r="H26" s="4">
        <v>4.5499999999999999E-2</v>
      </c>
      <c r="I26" s="3"/>
      <c r="J26" s="3"/>
      <c r="K26" s="3"/>
      <c r="L26" s="4">
        <v>7.6899999999999996E-2</v>
      </c>
      <c r="M26" s="3"/>
      <c r="N26" s="4">
        <v>0.11</v>
      </c>
      <c r="O26" s="3"/>
      <c r="P26" s="4">
        <v>0.108</v>
      </c>
      <c r="Q26" s="4">
        <v>24.9</v>
      </c>
      <c r="R26" s="4">
        <v>6.2399999999999997E-2</v>
      </c>
      <c r="S26" s="4">
        <v>30.9</v>
      </c>
      <c r="T26" s="3"/>
      <c r="U26" s="3"/>
      <c r="V26" s="4">
        <v>6.4999999999999997E-3</v>
      </c>
      <c r="W26" s="4">
        <v>17.7</v>
      </c>
      <c r="X26" s="4">
        <v>8.8000000000000005E-3</v>
      </c>
      <c r="Y26" s="4">
        <v>82.1</v>
      </c>
      <c r="Z26" s="4">
        <v>2.4E-2</v>
      </c>
      <c r="AA26" s="4">
        <v>6.25</v>
      </c>
      <c r="AB26" s="4">
        <v>1.72E-2</v>
      </c>
      <c r="AC26" s="4">
        <v>12.4</v>
      </c>
      <c r="AD26" s="4">
        <v>1.9400000000000001E-2</v>
      </c>
      <c r="AE26" s="4">
        <v>1.1499999999999999</v>
      </c>
      <c r="AF26" s="4">
        <v>2.01E-2</v>
      </c>
      <c r="AG26" s="4">
        <v>44.8</v>
      </c>
      <c r="AH26" s="4">
        <v>0.13300000000000001</v>
      </c>
      <c r="AI26" s="4">
        <v>15.8</v>
      </c>
      <c r="AJ26" s="4">
        <v>2.3E-2</v>
      </c>
      <c r="AK26" s="4">
        <v>42.7</v>
      </c>
      <c r="AL26" s="4">
        <v>6.1400000000000003E-2</v>
      </c>
      <c r="AM26" s="4">
        <v>3.93</v>
      </c>
      <c r="AN26" s="3"/>
      <c r="AO26" s="3"/>
      <c r="AP26" s="4">
        <v>3.6900000000000002E-2</v>
      </c>
      <c r="AQ26" s="4">
        <v>3.14</v>
      </c>
      <c r="AR26" s="4">
        <v>3.8800000000000001E-2</v>
      </c>
      <c r="AS26" s="4">
        <v>0</v>
      </c>
      <c r="AT26" s="4">
        <v>2.46E-2</v>
      </c>
      <c r="AU26" s="4">
        <v>15.2</v>
      </c>
      <c r="AV26" s="4">
        <v>2.6800000000000001E-2</v>
      </c>
      <c r="AW26" s="4">
        <v>0.439</v>
      </c>
      <c r="AX26" s="4">
        <v>1.8100000000000002E-2</v>
      </c>
      <c r="AY26" s="4">
        <v>36</v>
      </c>
      <c r="AZ26" s="3"/>
      <c r="BA26" s="4">
        <v>3.7199999999999997E-2</v>
      </c>
      <c r="BB26" s="4">
        <v>25.4</v>
      </c>
      <c r="BC26" s="4">
        <v>2.1600000000000001E-2</v>
      </c>
      <c r="BD26" s="4">
        <v>37.700000000000003</v>
      </c>
      <c r="BE26" s="4">
        <v>5.0999999999999997E-2</v>
      </c>
      <c r="BF26" s="4">
        <v>27.6</v>
      </c>
      <c r="BG26" s="4">
        <v>3.78E-2</v>
      </c>
      <c r="BH26" s="4">
        <v>32</v>
      </c>
      <c r="BI26" s="3"/>
      <c r="BJ26" s="3"/>
      <c r="BK26" s="3"/>
      <c r="BL26" s="4">
        <v>3.4299999999999997E-2</v>
      </c>
      <c r="BM26" s="4">
        <v>14.6</v>
      </c>
      <c r="BN26" s="4">
        <v>2.5399999999999999E-2</v>
      </c>
      <c r="BO26" s="4">
        <v>2.97</v>
      </c>
      <c r="BP26" s="4">
        <v>3.95E-2</v>
      </c>
      <c r="BQ26" s="4">
        <v>20.7</v>
      </c>
      <c r="BR26" s="4">
        <v>3.5999999999999997E-2</v>
      </c>
      <c r="BS26" s="4">
        <v>16.7</v>
      </c>
      <c r="BT26" s="4">
        <v>0.10299999999999999</v>
      </c>
      <c r="BU26" s="4">
        <v>0</v>
      </c>
      <c r="BV26" s="4">
        <v>0.125</v>
      </c>
      <c r="BW26" s="4">
        <v>78.2</v>
      </c>
      <c r="BX26" s="3"/>
      <c r="BY26" s="4">
        <v>6.0499999999999998E-2</v>
      </c>
      <c r="BZ26" s="4">
        <v>4.2299999999999997E-2</v>
      </c>
      <c r="CA26" s="78">
        <v>69.8</v>
      </c>
    </row>
    <row r="27" spans="1:79">
      <c r="A27" s="93" t="s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2">
        <v>3.0099999999999998E-2</v>
      </c>
      <c r="AO27" s="2">
        <v>47.1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77"/>
    </row>
    <row r="28" spans="1:79">
      <c r="A28" s="93" t="s">
        <v>24</v>
      </c>
      <c r="B28" s="4">
        <v>0.16300000000000001</v>
      </c>
      <c r="C28" s="4">
        <v>13.9</v>
      </c>
      <c r="D28" s="4">
        <v>0.90100000000000002</v>
      </c>
      <c r="E28" s="4">
        <v>10.5</v>
      </c>
      <c r="F28" s="4">
        <v>0.32700000000000001</v>
      </c>
      <c r="G28" s="4">
        <v>7.21</v>
      </c>
      <c r="H28" s="4">
        <v>0.48399999999999999</v>
      </c>
      <c r="I28" s="4">
        <v>4.7</v>
      </c>
      <c r="J28" s="3"/>
      <c r="K28" s="3"/>
      <c r="L28" s="4">
        <v>0.627</v>
      </c>
      <c r="M28" s="4">
        <v>2.3199999999999998</v>
      </c>
      <c r="N28" s="4">
        <v>0.624</v>
      </c>
      <c r="O28" s="4">
        <v>4.59</v>
      </c>
      <c r="P28" s="4">
        <v>0.13400000000000001</v>
      </c>
      <c r="Q28" s="4">
        <v>2.0099999999999998</v>
      </c>
      <c r="R28" s="4">
        <v>0.47399999999999998</v>
      </c>
      <c r="S28" s="4">
        <v>3.74</v>
      </c>
      <c r="T28" s="4">
        <v>0.45600000000000002</v>
      </c>
      <c r="U28" s="4">
        <v>1.69</v>
      </c>
      <c r="V28" s="4">
        <v>0.158</v>
      </c>
      <c r="W28" s="4">
        <v>1.03</v>
      </c>
      <c r="X28" s="4">
        <v>0.28499999999999998</v>
      </c>
      <c r="Y28" s="4">
        <v>5.81</v>
      </c>
      <c r="Z28" s="4">
        <v>0.16800000000000001</v>
      </c>
      <c r="AA28" s="4">
        <v>13.6</v>
      </c>
      <c r="AB28" s="4">
        <v>0.20899999999999999</v>
      </c>
      <c r="AC28" s="4">
        <v>19.399999999999999</v>
      </c>
      <c r="AD28" s="4">
        <v>0.14599999999999999</v>
      </c>
      <c r="AE28" s="4">
        <v>16.399999999999999</v>
      </c>
      <c r="AF28" s="4">
        <v>0.17899999999999999</v>
      </c>
      <c r="AG28" s="4">
        <v>24.7</v>
      </c>
      <c r="AH28" s="4">
        <v>0.32</v>
      </c>
      <c r="AI28" s="4">
        <v>40.6</v>
      </c>
      <c r="AJ28" s="4">
        <v>0.3</v>
      </c>
      <c r="AK28" s="4">
        <v>15.4</v>
      </c>
      <c r="AL28" s="4">
        <v>0.39800000000000002</v>
      </c>
      <c r="AM28" s="4">
        <v>13.4</v>
      </c>
      <c r="AN28" s="4">
        <v>0.27400000000000002</v>
      </c>
      <c r="AO28" s="4">
        <v>26</v>
      </c>
      <c r="AP28" s="4">
        <v>0.36099999999999999</v>
      </c>
      <c r="AQ28" s="4">
        <v>26.5</v>
      </c>
      <c r="AR28" s="3"/>
      <c r="AS28" s="3"/>
      <c r="AT28" s="4">
        <v>0.24</v>
      </c>
      <c r="AU28" s="4">
        <v>36.4</v>
      </c>
      <c r="AV28" s="4">
        <v>0.312</v>
      </c>
      <c r="AW28" s="4">
        <v>31.5</v>
      </c>
      <c r="AX28" s="4">
        <v>0.26400000000000001</v>
      </c>
      <c r="AY28" s="4">
        <v>43.4</v>
      </c>
      <c r="AZ28" s="3"/>
      <c r="BA28" s="4">
        <v>0.61199999999999999</v>
      </c>
      <c r="BB28" s="4">
        <v>16.8</v>
      </c>
      <c r="BC28" s="4">
        <v>0.12</v>
      </c>
      <c r="BD28" s="4">
        <v>19.899999999999999</v>
      </c>
      <c r="BE28" s="4">
        <v>0.33600000000000002</v>
      </c>
      <c r="BF28" s="4">
        <v>25</v>
      </c>
      <c r="BG28" s="4">
        <v>0.58599999999999997</v>
      </c>
      <c r="BH28" s="4">
        <v>21</v>
      </c>
      <c r="BI28" s="3"/>
      <c r="BJ28" s="3"/>
      <c r="BK28" s="3"/>
      <c r="BL28" s="4">
        <v>0.29499999999999998</v>
      </c>
      <c r="BM28" s="4">
        <v>13.9</v>
      </c>
      <c r="BN28" s="4">
        <v>0.18</v>
      </c>
      <c r="BO28" s="4">
        <v>6.82</v>
      </c>
      <c r="BP28" s="4">
        <v>0.17399999999999999</v>
      </c>
      <c r="BQ28" s="4">
        <v>12.3</v>
      </c>
      <c r="BR28" s="4">
        <v>0.56299999999999994</v>
      </c>
      <c r="BS28" s="4">
        <v>21.8</v>
      </c>
      <c r="BT28" s="4">
        <v>0.83799999999999997</v>
      </c>
      <c r="BU28" s="4">
        <v>47.5</v>
      </c>
      <c r="BV28" s="4">
        <v>0.30099999999999999</v>
      </c>
      <c r="BW28" s="4">
        <v>6</v>
      </c>
      <c r="BX28" s="3"/>
      <c r="BY28" s="4">
        <v>0.39200000000000002</v>
      </c>
      <c r="BZ28" s="4">
        <v>0.26</v>
      </c>
      <c r="CA28" s="78">
        <v>66.400000000000006</v>
      </c>
    </row>
    <row r="29" spans="1:79">
      <c r="A29" s="93" t="s">
        <v>25</v>
      </c>
      <c r="B29" s="2">
        <v>0.45300000000000001</v>
      </c>
      <c r="C29" s="2">
        <v>0.52100000000000002</v>
      </c>
      <c r="D29" s="2">
        <v>1.2</v>
      </c>
      <c r="E29" s="5"/>
      <c r="F29" s="2">
        <v>4.71</v>
      </c>
      <c r="G29" s="5"/>
      <c r="H29" s="2">
        <v>3.93</v>
      </c>
      <c r="I29" s="5"/>
      <c r="J29" s="5"/>
      <c r="K29" s="5"/>
      <c r="L29" s="2">
        <v>3.23</v>
      </c>
      <c r="M29" s="5"/>
      <c r="N29" s="2">
        <v>1.82</v>
      </c>
      <c r="O29" s="5"/>
      <c r="P29" s="2">
        <v>0.77300000000000002</v>
      </c>
      <c r="Q29" s="5"/>
      <c r="R29" s="2">
        <v>1.0900000000000001</v>
      </c>
      <c r="S29" s="5"/>
      <c r="T29" s="2">
        <v>0.41499999999999998</v>
      </c>
      <c r="U29" s="5"/>
      <c r="V29" s="2">
        <v>0.94</v>
      </c>
      <c r="W29" s="2">
        <v>23</v>
      </c>
      <c r="X29" s="2">
        <v>0.75700000000000001</v>
      </c>
      <c r="Y29" s="2">
        <v>4.1399999999999997</v>
      </c>
      <c r="Z29" s="2">
        <v>0.54500000000000004</v>
      </c>
      <c r="AA29" s="2">
        <v>9.17</v>
      </c>
      <c r="AB29" s="2">
        <v>0.64200000000000002</v>
      </c>
      <c r="AC29" s="2">
        <v>21.3</v>
      </c>
      <c r="AD29" s="2">
        <v>0.497</v>
      </c>
      <c r="AE29" s="2">
        <v>9.2200000000000006</v>
      </c>
      <c r="AF29" s="2">
        <v>0.92500000000000004</v>
      </c>
      <c r="AG29" s="2">
        <v>31.7</v>
      </c>
      <c r="AH29" s="2">
        <v>0.39600000000000002</v>
      </c>
      <c r="AI29" s="5"/>
      <c r="AJ29" s="2">
        <v>0.67800000000000005</v>
      </c>
      <c r="AK29" s="2">
        <v>31.9</v>
      </c>
      <c r="AL29" s="2">
        <v>0.63400000000000001</v>
      </c>
      <c r="AM29" s="2">
        <v>1.9</v>
      </c>
      <c r="AN29" s="2">
        <v>0.65200000000000002</v>
      </c>
      <c r="AO29" s="2">
        <v>17.100000000000001</v>
      </c>
      <c r="AP29" s="2">
        <v>0.67600000000000005</v>
      </c>
      <c r="AQ29" s="2">
        <v>1.71</v>
      </c>
      <c r="AR29" s="2">
        <v>0.98399999999999999</v>
      </c>
      <c r="AS29" s="2">
        <v>16.8</v>
      </c>
      <c r="AT29" s="5"/>
      <c r="AU29" s="5"/>
      <c r="AV29" s="2">
        <v>1.56</v>
      </c>
      <c r="AW29" s="2">
        <v>35.200000000000003</v>
      </c>
      <c r="AX29" s="2">
        <v>0.66400000000000003</v>
      </c>
      <c r="AY29" s="2">
        <v>27.1</v>
      </c>
      <c r="AZ29" s="5"/>
      <c r="BA29" s="2">
        <v>0.38800000000000001</v>
      </c>
      <c r="BB29" s="2">
        <v>13.2</v>
      </c>
      <c r="BC29" s="2">
        <v>0.27300000000000002</v>
      </c>
      <c r="BD29" s="2">
        <v>10.199999999999999</v>
      </c>
      <c r="BE29" s="2">
        <v>0.32900000000000001</v>
      </c>
      <c r="BF29" s="2">
        <v>27.5</v>
      </c>
      <c r="BG29" s="2">
        <v>0.45700000000000002</v>
      </c>
      <c r="BH29" s="2">
        <v>38.200000000000003</v>
      </c>
      <c r="BI29" s="5"/>
      <c r="BJ29" s="5"/>
      <c r="BK29" s="5"/>
      <c r="BL29" s="2">
        <v>0.59099999999999997</v>
      </c>
      <c r="BM29" s="2">
        <v>0</v>
      </c>
      <c r="BN29" s="2">
        <v>0.48099999999999998</v>
      </c>
      <c r="BO29" s="2">
        <v>7.36</v>
      </c>
      <c r="BP29" s="2">
        <v>0.58299999999999996</v>
      </c>
      <c r="BQ29" s="2">
        <v>9.16</v>
      </c>
      <c r="BR29" s="2">
        <v>0.41499999999999998</v>
      </c>
      <c r="BS29" s="2">
        <v>3.14</v>
      </c>
      <c r="BT29" s="2">
        <v>1.23</v>
      </c>
      <c r="BU29" s="2">
        <v>0</v>
      </c>
      <c r="BV29" s="2">
        <v>0.63</v>
      </c>
      <c r="BW29" s="2">
        <v>0</v>
      </c>
      <c r="BX29" s="5"/>
      <c r="BY29" s="2">
        <v>0.65500000000000003</v>
      </c>
      <c r="BZ29" s="2">
        <v>0.29199999999999998</v>
      </c>
      <c r="CA29" s="79">
        <v>44.6</v>
      </c>
    </row>
    <row r="30" spans="1:79">
      <c r="A30" s="93" t="s">
        <v>26</v>
      </c>
      <c r="B30" s="4">
        <v>0.155</v>
      </c>
      <c r="C30" s="4">
        <v>28.2</v>
      </c>
      <c r="D30" s="4">
        <v>0.31</v>
      </c>
      <c r="E30" s="4">
        <v>52.2</v>
      </c>
      <c r="F30" s="4">
        <v>0.36199999999999999</v>
      </c>
      <c r="G30" s="4">
        <v>46.8</v>
      </c>
      <c r="H30" s="4">
        <v>0.376</v>
      </c>
      <c r="I30" s="4">
        <v>31.5</v>
      </c>
      <c r="J30" s="3"/>
      <c r="K30" s="3"/>
      <c r="L30" s="4">
        <v>0.30599999999999999</v>
      </c>
      <c r="M30" s="4">
        <v>17.100000000000001</v>
      </c>
      <c r="N30" s="4">
        <v>0.28399999999999997</v>
      </c>
      <c r="O30" s="4">
        <v>54.3</v>
      </c>
      <c r="P30" s="4">
        <v>0.57999999999999996</v>
      </c>
      <c r="Q30" s="4">
        <v>0.154</v>
      </c>
      <c r="R30" s="4">
        <v>0.59699999999999998</v>
      </c>
      <c r="S30" s="4">
        <v>15</v>
      </c>
      <c r="T30" s="4">
        <v>0.71899999999999997</v>
      </c>
      <c r="U30" s="4">
        <v>19</v>
      </c>
      <c r="V30" s="4">
        <v>0.25</v>
      </c>
      <c r="W30" s="4">
        <v>16.5</v>
      </c>
      <c r="X30" s="4">
        <v>0.152</v>
      </c>
      <c r="Y30" s="4">
        <v>44.7</v>
      </c>
      <c r="Z30" s="4">
        <v>0.14899999999999999</v>
      </c>
      <c r="AA30" s="4">
        <v>20.399999999999999</v>
      </c>
      <c r="AB30" s="4">
        <v>0.14899999999999999</v>
      </c>
      <c r="AC30" s="4">
        <v>25</v>
      </c>
      <c r="AD30" s="4">
        <v>0.156</v>
      </c>
      <c r="AE30" s="4">
        <v>13.4</v>
      </c>
      <c r="AF30" s="4">
        <v>0.22900000000000001</v>
      </c>
      <c r="AG30" s="4">
        <v>27.5</v>
      </c>
      <c r="AH30" s="4">
        <v>0.52700000000000002</v>
      </c>
      <c r="AI30" s="4">
        <v>6.82</v>
      </c>
      <c r="AJ30" s="4">
        <v>0.30199999999999999</v>
      </c>
      <c r="AK30" s="4">
        <v>11.4</v>
      </c>
      <c r="AL30" s="4">
        <v>0.51300000000000001</v>
      </c>
      <c r="AM30" s="4">
        <v>28.1</v>
      </c>
      <c r="AN30" s="4">
        <v>0.34399999999999997</v>
      </c>
      <c r="AO30" s="4">
        <v>29.3</v>
      </c>
      <c r="AP30" s="4">
        <v>0.30099999999999999</v>
      </c>
      <c r="AQ30" s="4">
        <v>22.3</v>
      </c>
      <c r="AR30" s="4">
        <v>0.317</v>
      </c>
      <c r="AS30" s="4">
        <v>31.9</v>
      </c>
      <c r="AT30" s="4">
        <v>0.22</v>
      </c>
      <c r="AU30" s="4">
        <v>24.3</v>
      </c>
      <c r="AV30" s="3"/>
      <c r="AW30" s="3"/>
      <c r="AX30" s="4">
        <v>0.23400000000000001</v>
      </c>
      <c r="AY30" s="4">
        <v>0.48899999999999999</v>
      </c>
      <c r="AZ30" s="3"/>
      <c r="BA30" s="4">
        <v>9.98E-2</v>
      </c>
      <c r="BB30" s="4">
        <v>11.9</v>
      </c>
      <c r="BC30" s="4">
        <v>0.14699999999999999</v>
      </c>
      <c r="BD30" s="4">
        <v>3.06</v>
      </c>
      <c r="BE30" s="4">
        <v>0.193</v>
      </c>
      <c r="BF30" s="4">
        <v>32.4</v>
      </c>
      <c r="BG30" s="4">
        <v>0.34699999999999998</v>
      </c>
      <c r="BH30" s="4">
        <v>41</v>
      </c>
      <c r="BI30" s="3"/>
      <c r="BJ30" s="3"/>
      <c r="BK30" s="3"/>
      <c r="BL30" s="4">
        <v>0.312</v>
      </c>
      <c r="BM30" s="4">
        <v>25.8</v>
      </c>
      <c r="BN30" s="4">
        <v>0.17100000000000001</v>
      </c>
      <c r="BO30" s="4">
        <v>10.6</v>
      </c>
      <c r="BP30" s="4">
        <v>0.18099999999999999</v>
      </c>
      <c r="BQ30" s="4">
        <v>56.4</v>
      </c>
      <c r="BR30" s="4">
        <v>0.15</v>
      </c>
      <c r="BS30" s="4">
        <v>20.399999999999999</v>
      </c>
      <c r="BT30" s="4">
        <v>0.36599999999999999</v>
      </c>
      <c r="BU30" s="4">
        <v>67.400000000000006</v>
      </c>
      <c r="BV30" s="4">
        <v>0.40500000000000003</v>
      </c>
      <c r="BW30" s="4">
        <v>23.3</v>
      </c>
      <c r="BX30" s="3"/>
      <c r="BY30" s="4">
        <v>0.26400000000000001</v>
      </c>
      <c r="BZ30" s="4">
        <v>0.111</v>
      </c>
      <c r="CA30" s="78">
        <v>41.9</v>
      </c>
    </row>
    <row r="31" spans="1:79">
      <c r="A31" s="93" t="s">
        <v>27</v>
      </c>
      <c r="B31" s="2">
        <v>0.125</v>
      </c>
      <c r="C31" s="2">
        <v>6.34</v>
      </c>
      <c r="D31" s="2">
        <v>0.46700000000000003</v>
      </c>
      <c r="E31" s="2">
        <v>14.7</v>
      </c>
      <c r="F31" s="2">
        <v>0.56899999999999995</v>
      </c>
      <c r="G31" s="2">
        <v>25.8</v>
      </c>
      <c r="H31" s="2">
        <v>0.41099999999999998</v>
      </c>
      <c r="I31" s="2">
        <v>31.8</v>
      </c>
      <c r="J31" s="5"/>
      <c r="K31" s="5"/>
      <c r="L31" s="2">
        <v>0.38300000000000001</v>
      </c>
      <c r="M31" s="2">
        <v>45.6</v>
      </c>
      <c r="N31" s="2">
        <v>0.48299999999999998</v>
      </c>
      <c r="O31" s="2">
        <v>36.9</v>
      </c>
      <c r="P31" s="2">
        <v>0.53500000000000003</v>
      </c>
      <c r="Q31" s="2">
        <v>17.7</v>
      </c>
      <c r="R31" s="2">
        <v>0.68600000000000005</v>
      </c>
      <c r="S31" s="2">
        <v>20.5</v>
      </c>
      <c r="T31" s="2">
        <v>0.626</v>
      </c>
      <c r="U31" s="2">
        <v>18.5</v>
      </c>
      <c r="V31" s="2">
        <v>0.21299999999999999</v>
      </c>
      <c r="W31" s="2">
        <v>3.54</v>
      </c>
      <c r="X31" s="2">
        <v>0.222</v>
      </c>
      <c r="Y31" s="2">
        <v>17.2</v>
      </c>
      <c r="Z31" s="2">
        <v>0.13800000000000001</v>
      </c>
      <c r="AA31" s="2">
        <v>7.76</v>
      </c>
      <c r="AB31" s="2">
        <v>0.14199999999999999</v>
      </c>
      <c r="AC31" s="2">
        <v>5.1100000000000003</v>
      </c>
      <c r="AD31" s="2">
        <v>0.14000000000000001</v>
      </c>
      <c r="AE31" s="2">
        <v>7.97</v>
      </c>
      <c r="AF31" s="2">
        <v>0.25600000000000001</v>
      </c>
      <c r="AG31" s="2">
        <v>4.32</v>
      </c>
      <c r="AH31" s="2">
        <v>0.52400000000000002</v>
      </c>
      <c r="AI31" s="2">
        <v>23.2</v>
      </c>
      <c r="AJ31" s="2">
        <v>0.214</v>
      </c>
      <c r="AK31" s="2">
        <v>18.7</v>
      </c>
      <c r="AL31" s="2">
        <v>0.49</v>
      </c>
      <c r="AM31" s="2">
        <v>6.96</v>
      </c>
      <c r="AN31" s="2">
        <v>0.20499999999999999</v>
      </c>
      <c r="AO31" s="2">
        <v>21.7</v>
      </c>
      <c r="AP31" s="2">
        <v>0.30099999999999999</v>
      </c>
      <c r="AQ31" s="2">
        <v>19.600000000000001</v>
      </c>
      <c r="AR31" s="2">
        <v>0.22500000000000001</v>
      </c>
      <c r="AS31" s="2">
        <v>24.3</v>
      </c>
      <c r="AT31" s="2">
        <v>0.18</v>
      </c>
      <c r="AU31" s="2">
        <v>28</v>
      </c>
      <c r="AV31" s="2">
        <v>0.19900000000000001</v>
      </c>
      <c r="AW31" s="2">
        <v>24.1</v>
      </c>
      <c r="AX31" s="2">
        <v>6.9699999999999996E-3</v>
      </c>
      <c r="AY31" s="2">
        <v>119</v>
      </c>
      <c r="AZ31" s="5"/>
      <c r="BA31" s="2">
        <v>0.245</v>
      </c>
      <c r="BB31" s="2">
        <v>41.9</v>
      </c>
      <c r="BC31" s="2">
        <v>0.36499999999999999</v>
      </c>
      <c r="BD31" s="2">
        <v>20.8</v>
      </c>
      <c r="BE31" s="2">
        <v>0.624</v>
      </c>
      <c r="BF31" s="2">
        <v>27.5</v>
      </c>
      <c r="BG31" s="2">
        <v>0.65400000000000003</v>
      </c>
      <c r="BH31" s="2">
        <v>18.8</v>
      </c>
      <c r="BI31" s="5"/>
      <c r="BJ31" s="5"/>
      <c r="BK31" s="5"/>
      <c r="BL31" s="2">
        <v>0.19</v>
      </c>
      <c r="BM31" s="2">
        <v>21</v>
      </c>
      <c r="BN31" s="2">
        <v>0.127</v>
      </c>
      <c r="BO31" s="2">
        <v>10.4</v>
      </c>
      <c r="BP31" s="2">
        <v>0.247</v>
      </c>
      <c r="BQ31" s="2">
        <v>20.6</v>
      </c>
      <c r="BR31" s="2">
        <v>0.503</v>
      </c>
      <c r="BS31" s="2">
        <v>33.1</v>
      </c>
      <c r="BT31" s="2">
        <v>0.47199999999999998</v>
      </c>
      <c r="BU31" s="2">
        <v>22.8</v>
      </c>
      <c r="BV31" s="2">
        <v>0.48299999999999998</v>
      </c>
      <c r="BW31" s="2">
        <v>6.03</v>
      </c>
      <c r="BX31" s="5"/>
      <c r="BY31" s="2">
        <v>0.33700000000000002</v>
      </c>
      <c r="BZ31" s="2">
        <v>0.16800000000000001</v>
      </c>
      <c r="CA31" s="79">
        <v>49.8</v>
      </c>
    </row>
    <row r="32" spans="1:79">
      <c r="A32" s="9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68"/>
    </row>
    <row r="33" spans="1:79">
      <c r="A33" s="93" t="s">
        <v>29</v>
      </c>
      <c r="B33" s="2">
        <v>0.11600000000000001</v>
      </c>
      <c r="C33" s="2">
        <v>5.58</v>
      </c>
      <c r="D33" s="2">
        <v>0.58899999999999997</v>
      </c>
      <c r="E33" s="5"/>
      <c r="F33" s="2">
        <v>0.76700000000000002</v>
      </c>
      <c r="G33" s="5"/>
      <c r="H33" s="2">
        <v>0.67</v>
      </c>
      <c r="I33" s="5"/>
      <c r="J33" s="5"/>
      <c r="K33" s="5"/>
      <c r="L33" s="2">
        <v>0.55500000000000005</v>
      </c>
      <c r="M33" s="5"/>
      <c r="N33" s="2">
        <v>0.626</v>
      </c>
      <c r="O33" s="5"/>
      <c r="P33" s="2">
        <v>0.44900000000000001</v>
      </c>
      <c r="Q33" s="2">
        <v>7.78</v>
      </c>
      <c r="R33" s="2">
        <v>0.503</v>
      </c>
      <c r="S33" s="2">
        <v>20.399999999999999</v>
      </c>
      <c r="T33" s="2">
        <v>0.60599999999999998</v>
      </c>
      <c r="U33" s="2">
        <v>25.4</v>
      </c>
      <c r="V33" s="2">
        <v>0.371</v>
      </c>
      <c r="W33" s="2">
        <v>17</v>
      </c>
      <c r="X33" s="2">
        <v>0.34499999999999997</v>
      </c>
      <c r="Y33" s="2">
        <v>53.9</v>
      </c>
      <c r="Z33" s="2">
        <v>0.109</v>
      </c>
      <c r="AA33" s="2">
        <v>3.57</v>
      </c>
      <c r="AB33" s="2">
        <v>0.14499999999999999</v>
      </c>
      <c r="AC33" s="2">
        <v>25</v>
      </c>
      <c r="AD33" s="2">
        <v>0.11799999999999999</v>
      </c>
      <c r="AE33" s="2">
        <v>2.83</v>
      </c>
      <c r="AF33" s="2">
        <v>0.36199999999999999</v>
      </c>
      <c r="AG33" s="2">
        <v>76.3</v>
      </c>
      <c r="AH33" s="2">
        <v>0.44400000000000001</v>
      </c>
      <c r="AI33" s="2">
        <v>13.3</v>
      </c>
      <c r="AJ33" s="2">
        <v>0.56399999999999995</v>
      </c>
      <c r="AK33" s="2">
        <v>1.47</v>
      </c>
      <c r="AL33" s="2">
        <v>1.49</v>
      </c>
      <c r="AM33" s="2">
        <v>4.5599999999999996</v>
      </c>
      <c r="AN33" s="2">
        <v>0.182</v>
      </c>
      <c r="AO33" s="2">
        <v>11.3</v>
      </c>
      <c r="AP33" s="2">
        <v>0.25800000000000001</v>
      </c>
      <c r="AQ33" s="2">
        <v>40.799999999999997</v>
      </c>
      <c r="AR33" s="2">
        <v>0.28100000000000003</v>
      </c>
      <c r="AS33" s="2">
        <v>6.1</v>
      </c>
      <c r="AT33" s="2">
        <v>0.443</v>
      </c>
      <c r="AU33" s="2">
        <v>13.2</v>
      </c>
      <c r="AV33" s="2">
        <v>0.42499999999999999</v>
      </c>
      <c r="AW33" s="2">
        <v>16.2</v>
      </c>
      <c r="AX33" s="2">
        <v>0.42699999999999999</v>
      </c>
      <c r="AY33" s="2">
        <v>5.76</v>
      </c>
      <c r="AZ33" s="5"/>
      <c r="BA33" s="2">
        <v>0.251</v>
      </c>
      <c r="BB33" s="2">
        <v>11.4</v>
      </c>
      <c r="BC33" s="2">
        <v>0.127</v>
      </c>
      <c r="BD33" s="2">
        <v>10.9</v>
      </c>
      <c r="BE33" s="2">
        <v>0.29099999999999998</v>
      </c>
      <c r="BF33" s="2">
        <v>10.3</v>
      </c>
      <c r="BG33" s="2">
        <v>0.24399999999999999</v>
      </c>
      <c r="BH33" s="2">
        <v>13.6</v>
      </c>
      <c r="BI33" s="5"/>
      <c r="BJ33" s="5"/>
      <c r="BK33" s="5"/>
      <c r="BL33" s="2">
        <v>0.26300000000000001</v>
      </c>
      <c r="BM33" s="2">
        <v>43.2</v>
      </c>
      <c r="BN33" s="2">
        <v>0.126</v>
      </c>
      <c r="BO33" s="2">
        <v>4.9800000000000004</v>
      </c>
      <c r="BP33" s="2">
        <v>0.28000000000000003</v>
      </c>
      <c r="BQ33" s="2">
        <v>23.1</v>
      </c>
      <c r="BR33" s="2">
        <v>9.9299999999999999E-2</v>
      </c>
      <c r="BS33" s="2">
        <v>5.62</v>
      </c>
      <c r="BT33" s="2">
        <v>0.65500000000000003</v>
      </c>
      <c r="BU33" s="2">
        <v>0</v>
      </c>
      <c r="BV33" s="2">
        <v>0.52500000000000002</v>
      </c>
      <c r="BW33" s="2">
        <v>7.08</v>
      </c>
      <c r="BX33" s="5"/>
      <c r="BY33" s="2">
        <v>0.32500000000000001</v>
      </c>
      <c r="BZ33" s="2">
        <v>0.221</v>
      </c>
      <c r="CA33" s="79">
        <v>68.2</v>
      </c>
    </row>
    <row r="34" spans="1:79">
      <c r="A34" s="93" t="s">
        <v>30</v>
      </c>
      <c r="B34" s="4">
        <v>1.9</v>
      </c>
      <c r="C34" s="4">
        <v>17.399999999999999</v>
      </c>
      <c r="D34" s="4">
        <v>2.34</v>
      </c>
      <c r="E34" s="4">
        <v>22.3</v>
      </c>
      <c r="F34" s="4">
        <v>3.23</v>
      </c>
      <c r="G34" s="4">
        <v>2.2200000000000002</v>
      </c>
      <c r="H34" s="4">
        <v>2.56</v>
      </c>
      <c r="I34" s="4">
        <v>13.4</v>
      </c>
      <c r="J34" s="3"/>
      <c r="K34" s="3"/>
      <c r="L34" s="4">
        <v>2.82</v>
      </c>
      <c r="M34" s="4">
        <v>76.3</v>
      </c>
      <c r="N34" s="4">
        <v>2.4500000000000002</v>
      </c>
      <c r="O34" s="4">
        <v>40.700000000000003</v>
      </c>
      <c r="P34" s="4">
        <v>1.01</v>
      </c>
      <c r="Q34" s="4">
        <v>16.600000000000001</v>
      </c>
      <c r="R34" s="4">
        <v>1.31</v>
      </c>
      <c r="S34" s="4">
        <v>0.151</v>
      </c>
      <c r="T34" s="4">
        <v>1.04</v>
      </c>
      <c r="U34" s="4">
        <v>11.4</v>
      </c>
      <c r="V34" s="4">
        <v>1.7</v>
      </c>
      <c r="W34" s="4">
        <v>14</v>
      </c>
      <c r="X34" s="4">
        <v>1.69</v>
      </c>
      <c r="Y34" s="4">
        <v>4.7300000000000004</v>
      </c>
      <c r="Z34" s="4">
        <v>1.36</v>
      </c>
      <c r="AA34" s="4">
        <v>6.72</v>
      </c>
      <c r="AB34" s="4">
        <v>1.66</v>
      </c>
      <c r="AC34" s="4">
        <v>23.2</v>
      </c>
      <c r="AD34" s="4">
        <v>1.71</v>
      </c>
      <c r="AE34" s="4">
        <v>10.199999999999999</v>
      </c>
      <c r="AF34" s="4">
        <v>1.42</v>
      </c>
      <c r="AG34" s="4">
        <v>30.7</v>
      </c>
      <c r="AH34" s="4">
        <v>0.92600000000000005</v>
      </c>
      <c r="AI34" s="4">
        <v>14</v>
      </c>
      <c r="AJ34" s="4">
        <v>2.41</v>
      </c>
      <c r="AK34" s="4">
        <v>27</v>
      </c>
      <c r="AL34" s="4">
        <v>1.63</v>
      </c>
      <c r="AM34" s="4">
        <v>26.2</v>
      </c>
      <c r="AN34" s="4">
        <v>1.84</v>
      </c>
      <c r="AO34" s="4">
        <v>43.8</v>
      </c>
      <c r="AP34" s="4">
        <v>2.5</v>
      </c>
      <c r="AQ34" s="4">
        <v>19.600000000000001</v>
      </c>
      <c r="AR34" s="4">
        <v>2.86</v>
      </c>
      <c r="AS34" s="4">
        <v>22</v>
      </c>
      <c r="AT34" s="4">
        <v>2.44</v>
      </c>
      <c r="AU34" s="4">
        <v>32.1</v>
      </c>
      <c r="AV34" s="4">
        <v>2.56</v>
      </c>
      <c r="AW34" s="4">
        <v>36.1</v>
      </c>
      <c r="AX34" s="4">
        <v>2.1800000000000002</v>
      </c>
      <c r="AY34" s="4">
        <v>30.9</v>
      </c>
      <c r="AZ34" s="3"/>
      <c r="BA34" s="4">
        <v>2.54</v>
      </c>
      <c r="BB34" s="4">
        <v>23.5</v>
      </c>
      <c r="BC34" s="4">
        <v>1.34</v>
      </c>
      <c r="BD34" s="4">
        <v>27.9</v>
      </c>
      <c r="BE34" s="4">
        <v>3.39</v>
      </c>
      <c r="BF34" s="4">
        <v>12.4</v>
      </c>
      <c r="BG34" s="4">
        <v>2.63</v>
      </c>
      <c r="BH34" s="4">
        <v>12.6</v>
      </c>
      <c r="BI34" s="3"/>
      <c r="BJ34" s="3"/>
      <c r="BK34" s="3"/>
      <c r="BL34" s="4">
        <v>2.1800000000000002</v>
      </c>
      <c r="BM34" s="4">
        <v>47.1</v>
      </c>
      <c r="BN34" s="4">
        <v>1.55</v>
      </c>
      <c r="BO34" s="4">
        <v>16</v>
      </c>
      <c r="BP34" s="4">
        <v>1.42</v>
      </c>
      <c r="BQ34" s="4">
        <v>5.73</v>
      </c>
      <c r="BR34" s="4">
        <v>3.2</v>
      </c>
      <c r="BS34" s="4">
        <v>9.9700000000000006</v>
      </c>
      <c r="BT34" s="4">
        <v>3.37</v>
      </c>
      <c r="BU34" s="4">
        <v>29.8</v>
      </c>
      <c r="BV34" s="4">
        <v>1.01</v>
      </c>
      <c r="BW34" s="4">
        <v>14.5</v>
      </c>
      <c r="BX34" s="3"/>
      <c r="BY34" s="4">
        <v>2.12</v>
      </c>
      <c r="BZ34" s="4">
        <v>0.97699999999999998</v>
      </c>
      <c r="CA34" s="78">
        <v>46</v>
      </c>
    </row>
    <row r="35" spans="1:79">
      <c r="A35" s="93" t="s">
        <v>31</v>
      </c>
      <c r="B35" s="2">
        <v>0.66300000000000003</v>
      </c>
      <c r="C35" s="2">
        <v>10.7</v>
      </c>
      <c r="D35" s="2">
        <v>0.90700000000000003</v>
      </c>
      <c r="E35" s="2">
        <v>0.113</v>
      </c>
      <c r="F35" s="2">
        <v>1.08</v>
      </c>
      <c r="G35" s="2">
        <v>24.1</v>
      </c>
      <c r="H35" s="2">
        <v>0.88900000000000001</v>
      </c>
      <c r="I35" s="2">
        <v>2.56</v>
      </c>
      <c r="J35" s="5"/>
      <c r="K35" s="5"/>
      <c r="L35" s="2">
        <v>1.17</v>
      </c>
      <c r="M35" s="2">
        <v>6.75</v>
      </c>
      <c r="N35" s="2">
        <v>1.18</v>
      </c>
      <c r="O35" s="2">
        <v>18.7</v>
      </c>
      <c r="P35" s="2">
        <v>0.52</v>
      </c>
      <c r="Q35" s="2">
        <v>7.91</v>
      </c>
      <c r="R35" s="2">
        <v>0.65600000000000003</v>
      </c>
      <c r="S35" s="2">
        <v>24.9</v>
      </c>
      <c r="T35" s="2">
        <v>0.42</v>
      </c>
      <c r="U35" s="2">
        <v>4.8099999999999996</v>
      </c>
      <c r="V35" s="2">
        <v>0.83299999999999996</v>
      </c>
      <c r="W35" s="2">
        <v>28.6</v>
      </c>
      <c r="X35" s="2">
        <v>0.748</v>
      </c>
      <c r="Y35" s="2">
        <v>39</v>
      </c>
      <c r="Z35" s="2">
        <v>0.59</v>
      </c>
      <c r="AA35" s="2">
        <v>14.4</v>
      </c>
      <c r="AB35" s="2">
        <v>0.629</v>
      </c>
      <c r="AC35" s="2">
        <v>13.7</v>
      </c>
      <c r="AD35" s="2">
        <v>0.63500000000000001</v>
      </c>
      <c r="AE35" s="2">
        <v>8.44</v>
      </c>
      <c r="AF35" s="2">
        <v>0.749</v>
      </c>
      <c r="AG35" s="2">
        <v>27.7</v>
      </c>
      <c r="AH35" s="2">
        <v>0.502</v>
      </c>
      <c r="AI35" s="2">
        <v>11.4</v>
      </c>
      <c r="AJ35" s="2">
        <v>0.755</v>
      </c>
      <c r="AK35" s="2">
        <v>8.23</v>
      </c>
      <c r="AL35" s="2">
        <v>0.60499999999999998</v>
      </c>
      <c r="AM35" s="2">
        <v>17</v>
      </c>
      <c r="AN35" s="2">
        <v>0.58899999999999997</v>
      </c>
      <c r="AO35" s="2">
        <v>15</v>
      </c>
      <c r="AP35" s="2">
        <v>0.621</v>
      </c>
      <c r="AQ35" s="2">
        <v>14.6</v>
      </c>
      <c r="AR35" s="2">
        <v>0.78400000000000003</v>
      </c>
      <c r="AS35" s="2">
        <v>11.5</v>
      </c>
      <c r="AT35" s="2">
        <v>0.74399999999999999</v>
      </c>
      <c r="AU35" s="2">
        <v>9.93</v>
      </c>
      <c r="AV35" s="2">
        <v>0.81100000000000005</v>
      </c>
      <c r="AW35" s="2">
        <v>8.1300000000000008</v>
      </c>
      <c r="AX35" s="2">
        <v>0.73499999999999999</v>
      </c>
      <c r="AY35" s="2">
        <v>13</v>
      </c>
      <c r="AZ35" s="5"/>
      <c r="BA35" s="2">
        <v>0.45</v>
      </c>
      <c r="BB35" s="2">
        <v>9.1199999999999992</v>
      </c>
      <c r="BC35" s="2">
        <v>0.52700000000000002</v>
      </c>
      <c r="BD35" s="2">
        <v>1.85</v>
      </c>
      <c r="BE35" s="2">
        <v>0.61599999999999999</v>
      </c>
      <c r="BF35" s="2">
        <v>9.1</v>
      </c>
      <c r="BG35" s="2">
        <v>0.72399999999999998</v>
      </c>
      <c r="BH35" s="2">
        <v>1.38</v>
      </c>
      <c r="BI35" s="5"/>
      <c r="BJ35" s="5"/>
      <c r="BK35" s="5"/>
      <c r="BL35" s="2">
        <v>0.52200000000000002</v>
      </c>
      <c r="BM35" s="2">
        <v>10.7</v>
      </c>
      <c r="BN35" s="2">
        <v>0.624</v>
      </c>
      <c r="BO35" s="2">
        <v>16.399999999999999</v>
      </c>
      <c r="BP35" s="2">
        <v>0.65400000000000003</v>
      </c>
      <c r="BQ35" s="2">
        <v>13.1</v>
      </c>
      <c r="BR35" s="2">
        <v>0.60499999999999998</v>
      </c>
      <c r="BS35" s="2">
        <v>1.65</v>
      </c>
      <c r="BT35" s="2">
        <v>1.23</v>
      </c>
      <c r="BU35" s="2">
        <v>12.7</v>
      </c>
      <c r="BV35" s="2">
        <v>0.51700000000000002</v>
      </c>
      <c r="BW35" s="2">
        <v>40.799999999999997</v>
      </c>
      <c r="BX35" s="5"/>
      <c r="BY35" s="2">
        <v>0.69099999999999995</v>
      </c>
      <c r="BZ35" s="2">
        <v>0.26800000000000002</v>
      </c>
      <c r="CA35" s="79">
        <v>38.700000000000003</v>
      </c>
    </row>
    <row r="36" spans="1:79">
      <c r="A36" s="93" t="s">
        <v>32</v>
      </c>
      <c r="B36" s="4">
        <v>2.61</v>
      </c>
      <c r="C36" s="4">
        <v>18.399999999999999</v>
      </c>
      <c r="D36" s="4">
        <v>4.18</v>
      </c>
      <c r="E36" s="4">
        <v>0.245</v>
      </c>
      <c r="F36" s="4">
        <v>3.44</v>
      </c>
      <c r="G36" s="4">
        <v>2.08</v>
      </c>
      <c r="H36" s="4">
        <v>3.49</v>
      </c>
      <c r="I36" s="4">
        <v>14.3</v>
      </c>
      <c r="J36" s="3"/>
      <c r="K36" s="3"/>
      <c r="L36" s="4">
        <v>3.65</v>
      </c>
      <c r="M36" s="4">
        <v>19.7</v>
      </c>
      <c r="N36" s="4">
        <v>3.48</v>
      </c>
      <c r="O36" s="4">
        <v>25</v>
      </c>
      <c r="P36" s="4">
        <v>1.68</v>
      </c>
      <c r="Q36" s="4">
        <v>9.57</v>
      </c>
      <c r="R36" s="4">
        <v>2.16</v>
      </c>
      <c r="S36" s="4">
        <v>9.1199999999999992</v>
      </c>
      <c r="T36" s="4">
        <v>2.52</v>
      </c>
      <c r="U36" s="4">
        <v>20.6</v>
      </c>
      <c r="V36" s="4">
        <v>1.44</v>
      </c>
      <c r="W36" s="4">
        <v>6.38</v>
      </c>
      <c r="X36" s="4">
        <v>2.98</v>
      </c>
      <c r="Y36" s="4">
        <v>22.9</v>
      </c>
      <c r="Z36" s="4">
        <v>2.2400000000000002</v>
      </c>
      <c r="AA36" s="4">
        <v>11.7</v>
      </c>
      <c r="AB36" s="4">
        <v>2.34</v>
      </c>
      <c r="AC36" s="4">
        <v>19</v>
      </c>
      <c r="AD36" s="4">
        <v>2.12</v>
      </c>
      <c r="AE36" s="4">
        <v>23.4</v>
      </c>
      <c r="AF36" s="4">
        <v>2.4900000000000002</v>
      </c>
      <c r="AG36" s="4">
        <v>10.7</v>
      </c>
      <c r="AH36" s="4">
        <v>3.17</v>
      </c>
      <c r="AI36" s="4">
        <v>6.68</v>
      </c>
      <c r="AJ36" s="4">
        <v>3.1</v>
      </c>
      <c r="AK36" s="4">
        <v>9.24</v>
      </c>
      <c r="AL36" s="4">
        <v>2.44</v>
      </c>
      <c r="AM36" s="4">
        <v>22.7</v>
      </c>
      <c r="AN36" s="4">
        <v>2.99</v>
      </c>
      <c r="AO36" s="4">
        <v>20.8</v>
      </c>
      <c r="AP36" s="4">
        <v>3.42</v>
      </c>
      <c r="AQ36" s="4">
        <v>8.8699999999999992</v>
      </c>
      <c r="AR36" s="4">
        <v>3.34</v>
      </c>
      <c r="AS36" s="4">
        <v>18.2</v>
      </c>
      <c r="AT36" s="4">
        <v>3.06</v>
      </c>
      <c r="AU36" s="4">
        <v>4.93</v>
      </c>
      <c r="AV36" s="4">
        <v>3.81</v>
      </c>
      <c r="AW36" s="4">
        <v>12</v>
      </c>
      <c r="AX36" s="4">
        <v>3.71</v>
      </c>
      <c r="AY36" s="4">
        <v>6.32</v>
      </c>
      <c r="AZ36" s="3"/>
      <c r="BA36" s="4">
        <v>2.4900000000000002</v>
      </c>
      <c r="BB36" s="4">
        <v>39.5</v>
      </c>
      <c r="BC36" s="4">
        <v>2.84</v>
      </c>
      <c r="BD36" s="4">
        <v>34.700000000000003</v>
      </c>
      <c r="BE36" s="4">
        <v>2.21</v>
      </c>
      <c r="BF36" s="4">
        <v>15.6</v>
      </c>
      <c r="BG36" s="4">
        <v>2.67</v>
      </c>
      <c r="BH36" s="4">
        <v>6.56</v>
      </c>
      <c r="BI36" s="3"/>
      <c r="BJ36" s="3"/>
      <c r="BK36" s="3"/>
      <c r="BL36" s="4">
        <v>2.11</v>
      </c>
      <c r="BM36" s="4">
        <v>12.9</v>
      </c>
      <c r="BN36" s="4">
        <v>2.57</v>
      </c>
      <c r="BO36" s="4">
        <v>7.95</v>
      </c>
      <c r="BP36" s="4">
        <v>2.36</v>
      </c>
      <c r="BQ36" s="4">
        <v>16.8</v>
      </c>
      <c r="BR36" s="4">
        <v>2.82</v>
      </c>
      <c r="BS36" s="4">
        <v>2.4900000000000002</v>
      </c>
      <c r="BT36" s="4">
        <v>5.13</v>
      </c>
      <c r="BU36" s="4">
        <v>2.15</v>
      </c>
      <c r="BV36" s="4">
        <v>2.87</v>
      </c>
      <c r="BW36" s="4">
        <v>32.9</v>
      </c>
      <c r="BX36" s="3"/>
      <c r="BY36" s="4">
        <v>2.98</v>
      </c>
      <c r="BZ36" s="4">
        <v>1.0900000000000001</v>
      </c>
      <c r="CA36" s="78">
        <v>36.700000000000003</v>
      </c>
    </row>
    <row r="37" spans="1:79">
      <c r="A37" s="93" t="s">
        <v>33</v>
      </c>
      <c r="B37" s="2">
        <v>1.18</v>
      </c>
      <c r="C37" s="2">
        <v>2.0099999999999998</v>
      </c>
      <c r="D37" s="2">
        <v>1.93</v>
      </c>
      <c r="E37" s="2">
        <v>51.2</v>
      </c>
      <c r="F37" s="2">
        <v>0.99</v>
      </c>
      <c r="G37" s="2">
        <v>75.5</v>
      </c>
      <c r="H37" s="2">
        <v>0.35899999999999999</v>
      </c>
      <c r="I37" s="2">
        <v>49.8</v>
      </c>
      <c r="J37" s="5"/>
      <c r="K37" s="5"/>
      <c r="L37" s="2">
        <v>0.85199999999999998</v>
      </c>
      <c r="M37" s="2">
        <v>48.2</v>
      </c>
      <c r="N37" s="2">
        <v>1.64</v>
      </c>
      <c r="O37" s="2">
        <v>27.5</v>
      </c>
      <c r="P37" s="2">
        <v>2.1800000000000002</v>
      </c>
      <c r="Q37" s="2">
        <v>47.1</v>
      </c>
      <c r="R37" s="2">
        <v>2.84</v>
      </c>
      <c r="S37" s="2">
        <v>3.82</v>
      </c>
      <c r="T37" s="2">
        <v>9.8199999999999996E-2</v>
      </c>
      <c r="U37" s="5"/>
      <c r="V37" s="2">
        <v>0.495</v>
      </c>
      <c r="W37" s="2">
        <v>15.2</v>
      </c>
      <c r="X37" s="2">
        <v>0.55900000000000005</v>
      </c>
      <c r="Y37" s="2">
        <v>21.9</v>
      </c>
      <c r="Z37" s="2">
        <v>0.75900000000000001</v>
      </c>
      <c r="AA37" s="2">
        <v>1.24</v>
      </c>
      <c r="AB37" s="2">
        <v>0.74299999999999999</v>
      </c>
      <c r="AC37" s="2">
        <v>16.100000000000001</v>
      </c>
      <c r="AD37" s="2">
        <v>0.74099999999999999</v>
      </c>
      <c r="AE37" s="2">
        <v>3.62</v>
      </c>
      <c r="AF37" s="2">
        <v>0.70299999999999996</v>
      </c>
      <c r="AG37" s="2">
        <v>10.8</v>
      </c>
      <c r="AH37" s="2">
        <v>2</v>
      </c>
      <c r="AI37" s="2">
        <v>15.2</v>
      </c>
      <c r="AJ37" s="2">
        <v>0.67600000000000005</v>
      </c>
      <c r="AK37" s="2">
        <v>32.6</v>
      </c>
      <c r="AL37" s="2">
        <v>1</v>
      </c>
      <c r="AM37" s="2">
        <v>26.5</v>
      </c>
      <c r="AN37" s="2">
        <v>0.92800000000000005</v>
      </c>
      <c r="AO37" s="2">
        <v>13.5</v>
      </c>
      <c r="AP37" s="2">
        <v>1.1200000000000001</v>
      </c>
      <c r="AQ37" s="2">
        <v>23</v>
      </c>
      <c r="AR37" s="2">
        <v>1.17</v>
      </c>
      <c r="AS37" s="2">
        <v>17.399999999999999</v>
      </c>
      <c r="AT37" s="2">
        <v>0.68</v>
      </c>
      <c r="AU37" s="2">
        <v>37.6</v>
      </c>
      <c r="AV37" s="2">
        <v>0.80200000000000005</v>
      </c>
      <c r="AW37" s="2">
        <v>7.17</v>
      </c>
      <c r="AX37" s="2">
        <v>0.65800000000000003</v>
      </c>
      <c r="AY37" s="2">
        <v>35.299999999999997</v>
      </c>
      <c r="AZ37" s="5"/>
      <c r="BA37" s="2">
        <v>0.52600000000000002</v>
      </c>
      <c r="BB37" s="2">
        <v>38.5</v>
      </c>
      <c r="BC37" s="2">
        <v>0.40699999999999997</v>
      </c>
      <c r="BD37" s="2">
        <v>49.8</v>
      </c>
      <c r="BE37" s="2">
        <v>0.21099999999999999</v>
      </c>
      <c r="BF37" s="2">
        <v>7.42</v>
      </c>
      <c r="BG37" s="2">
        <v>6.8199999999999997E-2</v>
      </c>
      <c r="BH37" s="2">
        <v>18.100000000000001</v>
      </c>
      <c r="BI37" s="5"/>
      <c r="BJ37" s="5"/>
      <c r="BK37" s="5"/>
      <c r="BL37" s="2">
        <v>0.92900000000000005</v>
      </c>
      <c r="BM37" s="2">
        <v>7.32</v>
      </c>
      <c r="BN37" s="2">
        <v>1.1299999999999999</v>
      </c>
      <c r="BO37" s="2">
        <v>14.5</v>
      </c>
      <c r="BP37" s="2">
        <v>0.69399999999999995</v>
      </c>
      <c r="BQ37" s="2">
        <v>7.33</v>
      </c>
      <c r="BR37" s="2">
        <v>0.48</v>
      </c>
      <c r="BS37" s="2">
        <v>30.7</v>
      </c>
      <c r="BT37" s="2">
        <v>1.57</v>
      </c>
      <c r="BU37" s="2">
        <v>19.100000000000001</v>
      </c>
      <c r="BV37" s="2">
        <v>2.85</v>
      </c>
      <c r="BW37" s="2">
        <v>32.4</v>
      </c>
      <c r="BX37" s="5"/>
      <c r="BY37" s="2">
        <v>1.28</v>
      </c>
      <c r="BZ37" s="2">
        <v>0.85899999999999999</v>
      </c>
      <c r="CA37" s="79">
        <v>67.400000000000006</v>
      </c>
    </row>
    <row r="38" spans="1:79">
      <c r="A38" s="93" t="s">
        <v>34</v>
      </c>
      <c r="B38" s="4">
        <v>0.47399999999999998</v>
      </c>
      <c r="C38" s="4">
        <v>3.99</v>
      </c>
      <c r="D38" s="4">
        <v>0.77500000000000002</v>
      </c>
      <c r="E38" s="4">
        <v>16.600000000000001</v>
      </c>
      <c r="F38" s="4">
        <v>1.41</v>
      </c>
      <c r="G38" s="4">
        <v>38.4</v>
      </c>
      <c r="H38" s="4">
        <v>1.7</v>
      </c>
      <c r="I38" s="4">
        <v>25.7</v>
      </c>
      <c r="J38" s="3"/>
      <c r="K38" s="3"/>
      <c r="L38" s="4">
        <v>1.48</v>
      </c>
      <c r="M38" s="4">
        <v>4.82</v>
      </c>
      <c r="N38" s="4">
        <v>0.89900000000000002</v>
      </c>
      <c r="O38" s="4">
        <v>29.7</v>
      </c>
      <c r="P38" s="4">
        <v>0.66300000000000003</v>
      </c>
      <c r="Q38" s="4">
        <v>6.21</v>
      </c>
      <c r="R38" s="4">
        <v>0.95799999999999996</v>
      </c>
      <c r="S38" s="4">
        <v>2.57</v>
      </c>
      <c r="T38" s="4">
        <v>0.91400000000000003</v>
      </c>
      <c r="U38" s="4">
        <v>1.48</v>
      </c>
      <c r="V38" s="4">
        <v>0.69099999999999995</v>
      </c>
      <c r="W38" s="4">
        <v>13.6</v>
      </c>
      <c r="X38" s="4">
        <v>0.79900000000000004</v>
      </c>
      <c r="Y38" s="4">
        <v>14</v>
      </c>
      <c r="Z38" s="4">
        <v>0.36599999999999999</v>
      </c>
      <c r="AA38" s="4">
        <v>32.200000000000003</v>
      </c>
      <c r="AB38" s="4">
        <v>0.30199999999999999</v>
      </c>
      <c r="AC38" s="4">
        <v>44.2</v>
      </c>
      <c r="AD38" s="4">
        <v>0.34799999999999998</v>
      </c>
      <c r="AE38" s="4">
        <v>20.8</v>
      </c>
      <c r="AF38" s="4">
        <v>0.90500000000000003</v>
      </c>
      <c r="AG38" s="4">
        <v>2.2999999999999998</v>
      </c>
      <c r="AH38" s="4">
        <v>0.64600000000000002</v>
      </c>
      <c r="AI38" s="4">
        <v>13.1</v>
      </c>
      <c r="AJ38" s="4">
        <v>0.85599999999999998</v>
      </c>
      <c r="AK38" s="4">
        <v>2.77</v>
      </c>
      <c r="AL38" s="4">
        <v>1.01</v>
      </c>
      <c r="AM38" s="4">
        <v>11.6</v>
      </c>
      <c r="AN38" s="4">
        <v>0.58199999999999996</v>
      </c>
      <c r="AO38" s="4">
        <v>7.49</v>
      </c>
      <c r="AP38" s="4">
        <v>0.61899999999999999</v>
      </c>
      <c r="AQ38" s="4">
        <v>11.6</v>
      </c>
      <c r="AR38" s="4">
        <v>0.71499999999999997</v>
      </c>
      <c r="AS38" s="4">
        <v>1.8</v>
      </c>
      <c r="AT38" s="4">
        <v>0.63300000000000001</v>
      </c>
      <c r="AU38" s="4">
        <v>5.67</v>
      </c>
      <c r="AV38" s="4">
        <v>0.72799999999999998</v>
      </c>
      <c r="AW38" s="4">
        <v>8.65</v>
      </c>
      <c r="AX38" s="4">
        <v>0.72099999999999997</v>
      </c>
      <c r="AY38" s="4">
        <v>1.9</v>
      </c>
      <c r="AZ38" s="3"/>
      <c r="BA38" s="4">
        <v>0.39600000000000002</v>
      </c>
      <c r="BB38" s="4">
        <v>13.5</v>
      </c>
      <c r="BC38" s="4">
        <v>0.316</v>
      </c>
      <c r="BD38" s="4">
        <v>6.25</v>
      </c>
      <c r="BE38" s="4">
        <v>0.51800000000000002</v>
      </c>
      <c r="BF38" s="4">
        <v>9.5399999999999991</v>
      </c>
      <c r="BG38" s="4">
        <v>1.62</v>
      </c>
      <c r="BH38" s="4">
        <v>10.8</v>
      </c>
      <c r="BI38" s="3"/>
      <c r="BJ38" s="3"/>
      <c r="BK38" s="3"/>
      <c r="BL38" s="4">
        <v>0.504</v>
      </c>
      <c r="BM38" s="4">
        <v>6.02</v>
      </c>
      <c r="BN38" s="4">
        <v>0.51</v>
      </c>
      <c r="BO38" s="4">
        <v>8.33</v>
      </c>
      <c r="BP38" s="4">
        <v>0.38300000000000001</v>
      </c>
      <c r="BQ38" s="4">
        <v>28.3</v>
      </c>
      <c r="BR38" s="4">
        <v>0.40799999999999997</v>
      </c>
      <c r="BS38" s="4">
        <v>5.15</v>
      </c>
      <c r="BT38" s="4">
        <v>1.02</v>
      </c>
      <c r="BU38" s="4">
        <v>11.8</v>
      </c>
      <c r="BV38" s="4">
        <v>0.439</v>
      </c>
      <c r="BW38" s="4">
        <v>17.600000000000001</v>
      </c>
      <c r="BX38" s="3"/>
      <c r="BY38" s="4">
        <v>0.54400000000000004</v>
      </c>
      <c r="BZ38" s="4">
        <v>0.23799999999999999</v>
      </c>
      <c r="CA38" s="78">
        <v>43.8</v>
      </c>
    </row>
    <row r="39" spans="1:79">
      <c r="A39" s="93" t="s">
        <v>35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77"/>
    </row>
    <row r="40" spans="1:79">
      <c r="A40" s="93" t="s">
        <v>36</v>
      </c>
      <c r="B40" s="4">
        <v>2.17</v>
      </c>
      <c r="C40" s="4">
        <v>3</v>
      </c>
      <c r="D40" s="4">
        <v>1.95</v>
      </c>
      <c r="E40" s="4">
        <v>13.1</v>
      </c>
      <c r="F40" s="4">
        <v>1.05</v>
      </c>
      <c r="G40" s="4">
        <v>10.5</v>
      </c>
      <c r="H40" s="4">
        <v>1.19</v>
      </c>
      <c r="I40" s="4">
        <v>74.3</v>
      </c>
      <c r="J40" s="3"/>
      <c r="K40" s="3"/>
      <c r="L40" s="4">
        <v>1.05</v>
      </c>
      <c r="M40" s="4">
        <v>23.3</v>
      </c>
      <c r="N40" s="4">
        <v>1.35</v>
      </c>
      <c r="O40" s="4">
        <v>57.2</v>
      </c>
      <c r="P40" s="4">
        <v>1.88</v>
      </c>
      <c r="Q40" s="4">
        <v>10</v>
      </c>
      <c r="R40" s="4">
        <v>1.97</v>
      </c>
      <c r="S40" s="4">
        <v>14.5</v>
      </c>
      <c r="T40" s="4">
        <v>2.19</v>
      </c>
      <c r="U40" s="4">
        <v>7.49</v>
      </c>
      <c r="V40" s="4">
        <v>2.42</v>
      </c>
      <c r="W40" s="4">
        <v>21</v>
      </c>
      <c r="X40" s="4">
        <v>2.85</v>
      </c>
      <c r="Y40" s="4">
        <v>35.9</v>
      </c>
      <c r="Z40" s="4">
        <v>1.96</v>
      </c>
      <c r="AA40" s="4">
        <v>14.7</v>
      </c>
      <c r="AB40" s="4">
        <v>1.96</v>
      </c>
      <c r="AC40" s="4">
        <v>5.56</v>
      </c>
      <c r="AD40" s="4">
        <v>1.69</v>
      </c>
      <c r="AE40" s="4">
        <v>2.97</v>
      </c>
      <c r="AF40" s="4">
        <v>3.39</v>
      </c>
      <c r="AG40" s="4">
        <v>22.8</v>
      </c>
      <c r="AH40" s="4">
        <v>3.19</v>
      </c>
      <c r="AI40" s="4">
        <v>6.35</v>
      </c>
      <c r="AJ40" s="4">
        <v>2.62</v>
      </c>
      <c r="AK40" s="4">
        <v>22.4</v>
      </c>
      <c r="AL40" s="4">
        <v>3.44</v>
      </c>
      <c r="AM40" s="4">
        <v>10.1</v>
      </c>
      <c r="AN40" s="4">
        <v>2.75</v>
      </c>
      <c r="AO40" s="4">
        <v>12.9</v>
      </c>
      <c r="AP40" s="4">
        <v>3.48</v>
      </c>
      <c r="AQ40" s="4">
        <v>24.5</v>
      </c>
      <c r="AR40" s="4">
        <v>3.68</v>
      </c>
      <c r="AS40" s="4">
        <v>0.58199999999999996</v>
      </c>
      <c r="AT40" s="4">
        <v>2.72</v>
      </c>
      <c r="AU40" s="4">
        <v>8.67</v>
      </c>
      <c r="AV40" s="4">
        <v>3.61</v>
      </c>
      <c r="AW40" s="4">
        <v>8.9700000000000006</v>
      </c>
      <c r="AX40" s="4">
        <v>3.23</v>
      </c>
      <c r="AY40" s="4">
        <v>25.4</v>
      </c>
      <c r="AZ40" s="3"/>
      <c r="BA40" s="4">
        <v>2.82</v>
      </c>
      <c r="BB40" s="4">
        <v>25.8</v>
      </c>
      <c r="BC40" s="4">
        <v>2.11</v>
      </c>
      <c r="BD40" s="4">
        <v>23.1</v>
      </c>
      <c r="BE40" s="4">
        <v>1.8</v>
      </c>
      <c r="BF40" s="4">
        <v>15.9</v>
      </c>
      <c r="BG40" s="4">
        <v>1.1599999999999999</v>
      </c>
      <c r="BH40" s="4">
        <v>30</v>
      </c>
      <c r="BI40" s="3"/>
      <c r="BJ40" s="3"/>
      <c r="BK40" s="3"/>
      <c r="BL40" s="4">
        <v>2.29</v>
      </c>
      <c r="BM40" s="4">
        <v>21.2</v>
      </c>
      <c r="BN40" s="4">
        <v>2.09</v>
      </c>
      <c r="BO40" s="4">
        <v>12.6</v>
      </c>
      <c r="BP40" s="4">
        <v>3.22</v>
      </c>
      <c r="BQ40" s="4">
        <v>4.88</v>
      </c>
      <c r="BR40" s="4">
        <v>3.57</v>
      </c>
      <c r="BS40" s="4">
        <v>14.9</v>
      </c>
      <c r="BT40" s="4">
        <v>1.71</v>
      </c>
      <c r="BU40" s="4">
        <v>37</v>
      </c>
      <c r="BV40" s="4">
        <v>2.35</v>
      </c>
      <c r="BW40" s="4">
        <v>13.2</v>
      </c>
      <c r="BX40" s="3"/>
      <c r="BY40" s="4">
        <v>2.54</v>
      </c>
      <c r="BZ40" s="4">
        <v>0.70699999999999996</v>
      </c>
      <c r="CA40" s="78">
        <v>27.9</v>
      </c>
    </row>
    <row r="41" spans="1:79">
      <c r="A41" s="93" t="s">
        <v>37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2">
        <v>0.14299999999999999</v>
      </c>
      <c r="W41" s="2">
        <v>82.1</v>
      </c>
      <c r="X41" s="2">
        <v>0.11</v>
      </c>
      <c r="Y41" s="2">
        <v>34.5</v>
      </c>
      <c r="Z41" s="5"/>
      <c r="AA41" s="5"/>
      <c r="AB41" s="5"/>
      <c r="AC41" s="5"/>
      <c r="AD41" s="5"/>
      <c r="AE41" s="5"/>
      <c r="AF41" s="2">
        <v>0.16300000000000001</v>
      </c>
      <c r="AG41" s="2">
        <v>16.3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2">
        <v>0.105</v>
      </c>
      <c r="BQ41" s="2">
        <v>23.8</v>
      </c>
      <c r="BR41" s="5"/>
      <c r="BS41" s="5"/>
      <c r="BT41" s="5"/>
      <c r="BU41" s="5"/>
      <c r="BV41" s="5"/>
      <c r="BW41" s="5"/>
      <c r="BX41" s="5"/>
      <c r="BY41" s="2">
        <v>0.105</v>
      </c>
      <c r="BZ41" s="5"/>
      <c r="CA41" s="77"/>
    </row>
    <row r="42" spans="1:79">
      <c r="A42" s="93" t="s">
        <v>38</v>
      </c>
      <c r="B42" s="4">
        <v>0.86499999999999999</v>
      </c>
      <c r="C42" s="4">
        <v>14.2</v>
      </c>
      <c r="D42" s="4">
        <v>1.1200000000000001</v>
      </c>
      <c r="E42" s="4">
        <v>11.4</v>
      </c>
      <c r="F42" s="4">
        <v>0.62</v>
      </c>
      <c r="G42" s="4">
        <v>12.1</v>
      </c>
      <c r="H42" s="4">
        <v>0.46500000000000002</v>
      </c>
      <c r="I42" s="4">
        <v>3.02</v>
      </c>
      <c r="J42" s="3"/>
      <c r="K42" s="3"/>
      <c r="L42" s="4">
        <v>0.51800000000000002</v>
      </c>
      <c r="M42" s="4">
        <v>21.3</v>
      </c>
      <c r="N42" s="4">
        <v>0.68600000000000005</v>
      </c>
      <c r="O42" s="4">
        <v>27.8</v>
      </c>
      <c r="P42" s="4">
        <v>0.67800000000000005</v>
      </c>
      <c r="Q42" s="4">
        <v>16.2</v>
      </c>
      <c r="R42" s="4">
        <v>0.502</v>
      </c>
      <c r="S42" s="4">
        <v>9.61</v>
      </c>
      <c r="T42" s="4">
        <v>0.79100000000000004</v>
      </c>
      <c r="U42" s="4">
        <v>13.1</v>
      </c>
      <c r="V42" s="4">
        <v>1.38</v>
      </c>
      <c r="W42" s="4">
        <v>43</v>
      </c>
      <c r="X42" s="4">
        <v>2.2000000000000002</v>
      </c>
      <c r="Y42" s="4">
        <v>25.2</v>
      </c>
      <c r="Z42" s="4">
        <v>0.79800000000000004</v>
      </c>
      <c r="AA42" s="4">
        <v>11.8</v>
      </c>
      <c r="AB42" s="4">
        <v>0.83299999999999996</v>
      </c>
      <c r="AC42" s="4">
        <v>5.92</v>
      </c>
      <c r="AD42" s="4">
        <v>0.83099999999999996</v>
      </c>
      <c r="AE42" s="4">
        <v>7.87</v>
      </c>
      <c r="AF42" s="4">
        <v>1.61</v>
      </c>
      <c r="AG42" s="4">
        <v>7.66</v>
      </c>
      <c r="AH42" s="4">
        <v>0.629</v>
      </c>
      <c r="AI42" s="4">
        <v>26.4</v>
      </c>
      <c r="AJ42" s="4">
        <v>0.41699999999999998</v>
      </c>
      <c r="AK42" s="4">
        <v>22.6</v>
      </c>
      <c r="AL42" s="4">
        <v>0.86299999999999999</v>
      </c>
      <c r="AM42" s="4">
        <v>1.4</v>
      </c>
      <c r="AN42" s="4">
        <v>0.72399999999999998</v>
      </c>
      <c r="AO42" s="4">
        <v>14.9</v>
      </c>
      <c r="AP42" s="4">
        <v>1.05</v>
      </c>
      <c r="AQ42" s="4">
        <v>23.3</v>
      </c>
      <c r="AR42" s="4">
        <v>0.73199999999999998</v>
      </c>
      <c r="AS42" s="4">
        <v>21.5</v>
      </c>
      <c r="AT42" s="4">
        <v>0.25600000000000001</v>
      </c>
      <c r="AU42" s="4">
        <v>2.93</v>
      </c>
      <c r="AV42" s="4">
        <v>0.36199999999999999</v>
      </c>
      <c r="AW42" s="4">
        <v>11.2</v>
      </c>
      <c r="AX42" s="4">
        <v>0.318</v>
      </c>
      <c r="AY42" s="4">
        <v>19.600000000000001</v>
      </c>
      <c r="AZ42" s="3"/>
      <c r="BA42" s="4">
        <v>0.85099999999999998</v>
      </c>
      <c r="BB42" s="4">
        <v>18.3</v>
      </c>
      <c r="BC42" s="4">
        <v>0.73399999999999999</v>
      </c>
      <c r="BD42" s="4">
        <v>16.7</v>
      </c>
      <c r="BE42" s="4">
        <v>0.50700000000000001</v>
      </c>
      <c r="BF42" s="4">
        <v>17</v>
      </c>
      <c r="BG42" s="4">
        <v>0.56999999999999995</v>
      </c>
      <c r="BH42" s="4">
        <v>18.2</v>
      </c>
      <c r="BI42" s="3"/>
      <c r="BJ42" s="3"/>
      <c r="BK42" s="3"/>
      <c r="BL42" s="4">
        <v>0.82199999999999995</v>
      </c>
      <c r="BM42" s="4">
        <v>2.5499999999999998</v>
      </c>
      <c r="BN42" s="4">
        <v>0.92400000000000004</v>
      </c>
      <c r="BO42" s="4">
        <v>20.2</v>
      </c>
      <c r="BP42" s="4">
        <v>1.57</v>
      </c>
      <c r="BQ42" s="4">
        <v>15.2</v>
      </c>
      <c r="BR42" s="4">
        <v>0.98499999999999999</v>
      </c>
      <c r="BS42" s="4">
        <v>9.5</v>
      </c>
      <c r="BT42" s="4">
        <v>0.874</v>
      </c>
      <c r="BU42" s="4">
        <v>9.31</v>
      </c>
      <c r="BV42" s="4">
        <v>0.625</v>
      </c>
      <c r="BW42" s="4">
        <v>32.299999999999997</v>
      </c>
      <c r="BX42" s="3"/>
      <c r="BY42" s="4">
        <v>0.96699999999999997</v>
      </c>
      <c r="BZ42" s="4">
        <v>0.32</v>
      </c>
      <c r="CA42" s="78">
        <v>33.1</v>
      </c>
    </row>
    <row r="43" spans="1:79">
      <c r="A43" s="93" t="s">
        <v>39</v>
      </c>
      <c r="B43" s="2">
        <v>3.74</v>
      </c>
      <c r="C43" s="2">
        <v>16.399999999999999</v>
      </c>
      <c r="D43" s="2">
        <v>7.46</v>
      </c>
      <c r="E43" s="2">
        <v>22</v>
      </c>
      <c r="F43" s="2">
        <v>3.99</v>
      </c>
      <c r="G43" s="2">
        <v>32.1</v>
      </c>
      <c r="H43" s="2">
        <v>8.32</v>
      </c>
      <c r="I43" s="2">
        <v>31.8</v>
      </c>
      <c r="J43" s="5"/>
      <c r="K43" s="5"/>
      <c r="L43" s="2">
        <v>4.88</v>
      </c>
      <c r="M43" s="2">
        <v>38.5</v>
      </c>
      <c r="N43" s="2">
        <v>4.95</v>
      </c>
      <c r="O43" s="2">
        <v>58.3</v>
      </c>
      <c r="P43" s="2">
        <v>3.5</v>
      </c>
      <c r="Q43" s="2">
        <v>30.4</v>
      </c>
      <c r="R43" s="2">
        <v>3.83</v>
      </c>
      <c r="S43" s="2">
        <v>8.23</v>
      </c>
      <c r="T43" s="2">
        <v>4.03</v>
      </c>
      <c r="U43" s="2">
        <v>3.34</v>
      </c>
      <c r="V43" s="2">
        <v>3.09</v>
      </c>
      <c r="W43" s="2">
        <v>30.3</v>
      </c>
      <c r="X43" s="2">
        <v>3.38</v>
      </c>
      <c r="Y43" s="2">
        <v>27.1</v>
      </c>
      <c r="Z43" s="2">
        <v>3.46</v>
      </c>
      <c r="AA43" s="2">
        <v>11.4</v>
      </c>
      <c r="AB43" s="2">
        <v>3.52</v>
      </c>
      <c r="AC43" s="2">
        <v>16.7</v>
      </c>
      <c r="AD43" s="2">
        <v>3.5</v>
      </c>
      <c r="AE43" s="2">
        <v>10.6</v>
      </c>
      <c r="AF43" s="2">
        <v>3.09</v>
      </c>
      <c r="AG43" s="2">
        <v>34.9</v>
      </c>
      <c r="AH43" s="2">
        <v>3.71</v>
      </c>
      <c r="AI43" s="2">
        <v>2.98</v>
      </c>
      <c r="AJ43" s="2">
        <v>4.24</v>
      </c>
      <c r="AK43" s="2">
        <v>14.9</v>
      </c>
      <c r="AL43" s="2">
        <v>3.41</v>
      </c>
      <c r="AM43" s="2">
        <v>3.75</v>
      </c>
      <c r="AN43" s="2">
        <v>3.74</v>
      </c>
      <c r="AO43" s="2">
        <v>6.99</v>
      </c>
      <c r="AP43" s="2">
        <v>4.33</v>
      </c>
      <c r="AQ43" s="2">
        <v>13.2</v>
      </c>
      <c r="AR43" s="2">
        <v>4</v>
      </c>
      <c r="AS43" s="2">
        <v>13.7</v>
      </c>
      <c r="AT43" s="2">
        <v>4.49</v>
      </c>
      <c r="AU43" s="2">
        <v>15.7</v>
      </c>
      <c r="AV43" s="2">
        <v>5.25</v>
      </c>
      <c r="AW43" s="2">
        <v>15.9</v>
      </c>
      <c r="AX43" s="2">
        <v>4.78</v>
      </c>
      <c r="AY43" s="2">
        <v>14.3</v>
      </c>
      <c r="AZ43" s="5"/>
      <c r="BA43" s="2">
        <v>2.36</v>
      </c>
      <c r="BB43" s="2">
        <v>11.1</v>
      </c>
      <c r="BC43" s="2">
        <v>2.67</v>
      </c>
      <c r="BD43" s="2">
        <v>8.66</v>
      </c>
      <c r="BE43" s="2">
        <v>2.12</v>
      </c>
      <c r="BF43" s="2">
        <v>7.39</v>
      </c>
      <c r="BG43" s="2">
        <v>3.11</v>
      </c>
      <c r="BH43" s="2">
        <v>7.78</v>
      </c>
      <c r="BI43" s="5"/>
      <c r="BJ43" s="5"/>
      <c r="BK43" s="5"/>
      <c r="BL43" s="2">
        <v>2.83</v>
      </c>
      <c r="BM43" s="2">
        <v>11.3</v>
      </c>
      <c r="BN43" s="2">
        <v>3.31</v>
      </c>
      <c r="BO43" s="2">
        <v>14</v>
      </c>
      <c r="BP43" s="2">
        <v>3.38</v>
      </c>
      <c r="BQ43" s="2">
        <v>8.9700000000000006</v>
      </c>
      <c r="BR43" s="2">
        <v>3.21</v>
      </c>
      <c r="BS43" s="2">
        <v>20.399999999999999</v>
      </c>
      <c r="BT43" s="2">
        <v>5.47</v>
      </c>
      <c r="BU43" s="2">
        <v>31.7</v>
      </c>
      <c r="BV43" s="2">
        <v>4.08</v>
      </c>
      <c r="BW43" s="2">
        <v>10.8</v>
      </c>
      <c r="BX43" s="5"/>
      <c r="BY43" s="2">
        <v>3.71</v>
      </c>
      <c r="BZ43" s="2">
        <v>0.95199999999999996</v>
      </c>
      <c r="CA43" s="79">
        <v>25.6</v>
      </c>
    </row>
    <row r="44" spans="1:79">
      <c r="A44" s="93" t="s">
        <v>40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4">
        <v>0.41</v>
      </c>
      <c r="BB44" s="3"/>
      <c r="BC44" s="4">
        <v>0.48699999999999999</v>
      </c>
      <c r="BD44" s="3"/>
      <c r="BE44" s="4">
        <v>0.69599999999999995</v>
      </c>
      <c r="BF44" s="3"/>
      <c r="BG44" s="4">
        <v>0.56499999999999995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4">
        <v>0.51100000000000001</v>
      </c>
      <c r="BS44" s="3"/>
      <c r="BT44" s="3"/>
      <c r="BU44" s="3"/>
      <c r="BV44" s="3"/>
      <c r="BW44" s="3"/>
      <c r="BX44" s="3"/>
      <c r="BY44" s="4">
        <v>0.51100000000000001</v>
      </c>
      <c r="BZ44" s="3"/>
      <c r="CA44" s="68"/>
    </row>
    <row r="45" spans="1:79">
      <c r="A45" s="93" t="s">
        <v>41</v>
      </c>
      <c r="B45" s="2">
        <v>0.69399999999999995</v>
      </c>
      <c r="C45" s="2">
        <v>19.5</v>
      </c>
      <c r="D45" s="2">
        <v>1.46</v>
      </c>
      <c r="E45" s="2">
        <v>9.73</v>
      </c>
      <c r="F45" s="2">
        <v>1.31</v>
      </c>
      <c r="G45" s="2">
        <v>23.4</v>
      </c>
      <c r="H45" s="2">
        <v>1.08</v>
      </c>
      <c r="I45" s="2">
        <v>20.100000000000001</v>
      </c>
      <c r="J45" s="5"/>
      <c r="K45" s="5"/>
      <c r="L45" s="2">
        <v>1.02</v>
      </c>
      <c r="M45" s="2">
        <v>33.6</v>
      </c>
      <c r="N45" s="2">
        <v>1.0900000000000001</v>
      </c>
      <c r="O45" s="2">
        <v>30.8</v>
      </c>
      <c r="P45" s="2">
        <v>0.70599999999999996</v>
      </c>
      <c r="Q45" s="2">
        <v>31.6</v>
      </c>
      <c r="R45" s="2">
        <v>0.59899999999999998</v>
      </c>
      <c r="S45" s="2">
        <v>1.1499999999999999</v>
      </c>
      <c r="T45" s="2">
        <v>0.93200000000000005</v>
      </c>
      <c r="U45" s="2">
        <v>17.2</v>
      </c>
      <c r="V45" s="2">
        <v>0.70099999999999996</v>
      </c>
      <c r="W45" s="2">
        <v>6.48</v>
      </c>
      <c r="X45" s="2">
        <v>1.25</v>
      </c>
      <c r="Y45" s="2">
        <v>15.7</v>
      </c>
      <c r="Z45" s="2">
        <v>0.63500000000000001</v>
      </c>
      <c r="AA45" s="2">
        <v>15.6</v>
      </c>
      <c r="AB45" s="2">
        <v>0.65700000000000003</v>
      </c>
      <c r="AC45" s="2">
        <v>23.2</v>
      </c>
      <c r="AD45" s="2">
        <v>0.58599999999999997</v>
      </c>
      <c r="AE45" s="2">
        <v>12.6</v>
      </c>
      <c r="AF45" s="2">
        <v>1.04</v>
      </c>
      <c r="AG45" s="2">
        <v>28.7</v>
      </c>
      <c r="AH45" s="2">
        <v>0.99299999999999999</v>
      </c>
      <c r="AI45" s="2">
        <v>16.600000000000001</v>
      </c>
      <c r="AJ45" s="2">
        <v>0.89100000000000001</v>
      </c>
      <c r="AK45" s="2">
        <v>28.3</v>
      </c>
      <c r="AL45" s="2">
        <v>0.92700000000000005</v>
      </c>
      <c r="AM45" s="2">
        <v>22.4</v>
      </c>
      <c r="AN45" s="2">
        <v>0.55300000000000005</v>
      </c>
      <c r="AO45" s="2">
        <v>12.2</v>
      </c>
      <c r="AP45" s="2">
        <v>0.80200000000000005</v>
      </c>
      <c r="AQ45" s="2">
        <v>17.5</v>
      </c>
      <c r="AR45" s="2">
        <v>0.77600000000000002</v>
      </c>
      <c r="AS45" s="2">
        <v>45.3</v>
      </c>
      <c r="AT45" s="2">
        <v>0.85599999999999998</v>
      </c>
      <c r="AU45" s="2">
        <v>19</v>
      </c>
      <c r="AV45" s="2">
        <v>1.25</v>
      </c>
      <c r="AW45" s="2">
        <v>18.2</v>
      </c>
      <c r="AX45" s="2">
        <v>0.96699999999999997</v>
      </c>
      <c r="AY45" s="2">
        <v>23.5</v>
      </c>
      <c r="AZ45" s="5"/>
      <c r="BA45" s="2">
        <v>1.86</v>
      </c>
      <c r="BB45" s="2">
        <v>15.1</v>
      </c>
      <c r="BC45" s="2">
        <v>1.5</v>
      </c>
      <c r="BD45" s="2">
        <v>1.27</v>
      </c>
      <c r="BE45" s="2">
        <v>1.33</v>
      </c>
      <c r="BF45" s="2">
        <v>21.1</v>
      </c>
      <c r="BG45" s="2">
        <v>1.43</v>
      </c>
      <c r="BH45" s="2">
        <v>3.1</v>
      </c>
      <c r="BI45" s="5"/>
      <c r="BJ45" s="5"/>
      <c r="BK45" s="5"/>
      <c r="BL45" s="2">
        <v>0.56100000000000005</v>
      </c>
      <c r="BM45" s="2">
        <v>26.1</v>
      </c>
      <c r="BN45" s="2">
        <v>0.60699999999999998</v>
      </c>
      <c r="BO45" s="2">
        <v>19</v>
      </c>
      <c r="BP45" s="2">
        <v>0.753</v>
      </c>
      <c r="BQ45" s="2">
        <v>21.5</v>
      </c>
      <c r="BR45" s="2">
        <v>2</v>
      </c>
      <c r="BS45" s="2">
        <v>25</v>
      </c>
      <c r="BT45" s="2">
        <v>1.47</v>
      </c>
      <c r="BU45" s="2">
        <v>14.1</v>
      </c>
      <c r="BV45" s="2">
        <v>0.97299999999999998</v>
      </c>
      <c r="BW45" s="2">
        <v>30.2</v>
      </c>
      <c r="BX45" s="5"/>
      <c r="BY45" s="2">
        <v>1.06</v>
      </c>
      <c r="BZ45" s="2">
        <v>0.56799999999999995</v>
      </c>
      <c r="CA45" s="79">
        <v>53.5</v>
      </c>
    </row>
    <row r="46" spans="1:79">
      <c r="A46" s="93" t="s">
        <v>42</v>
      </c>
      <c r="B46" s="4">
        <v>0.437</v>
      </c>
      <c r="C46" s="4">
        <v>4.7300000000000004</v>
      </c>
      <c r="D46" s="4">
        <v>5.2</v>
      </c>
      <c r="E46" s="4">
        <v>1.18</v>
      </c>
      <c r="F46" s="4">
        <v>3.33</v>
      </c>
      <c r="G46" s="4">
        <v>0.92400000000000004</v>
      </c>
      <c r="H46" s="4">
        <v>2.98</v>
      </c>
      <c r="I46" s="4">
        <v>7.94</v>
      </c>
      <c r="J46" s="3"/>
      <c r="K46" s="3"/>
      <c r="L46" s="4">
        <v>2.2400000000000002</v>
      </c>
      <c r="M46" s="4">
        <v>44.3</v>
      </c>
      <c r="N46" s="4">
        <v>4.57</v>
      </c>
      <c r="O46" s="4">
        <v>5.19</v>
      </c>
      <c r="P46" s="4">
        <v>2.2200000000000002</v>
      </c>
      <c r="Q46" s="4">
        <v>49.6</v>
      </c>
      <c r="R46" s="4">
        <v>1.69</v>
      </c>
      <c r="S46" s="4">
        <v>13.4</v>
      </c>
      <c r="T46" s="4">
        <v>3.44</v>
      </c>
      <c r="U46" s="4">
        <v>20.399999999999999</v>
      </c>
      <c r="V46" s="4">
        <v>0.58599999999999997</v>
      </c>
      <c r="W46" s="4">
        <v>7.99</v>
      </c>
      <c r="X46" s="4">
        <v>0.73699999999999999</v>
      </c>
      <c r="Y46" s="4">
        <v>17.7</v>
      </c>
      <c r="Z46" s="4">
        <v>0.39200000000000002</v>
      </c>
      <c r="AA46" s="4">
        <v>17.2</v>
      </c>
      <c r="AB46" s="4">
        <v>0.45700000000000002</v>
      </c>
      <c r="AC46" s="4">
        <v>1.88</v>
      </c>
      <c r="AD46" s="4">
        <v>0.35399999999999998</v>
      </c>
      <c r="AE46" s="4">
        <v>3.79</v>
      </c>
      <c r="AF46" s="4">
        <v>0.86899999999999999</v>
      </c>
      <c r="AG46" s="4">
        <v>21.6</v>
      </c>
      <c r="AH46" s="4">
        <v>1.73</v>
      </c>
      <c r="AI46" s="4">
        <v>66.5</v>
      </c>
      <c r="AJ46" s="4">
        <v>0.55000000000000004</v>
      </c>
      <c r="AK46" s="4">
        <v>6.9</v>
      </c>
      <c r="AL46" s="4">
        <v>0.80700000000000005</v>
      </c>
      <c r="AM46" s="4">
        <v>5.69</v>
      </c>
      <c r="AN46" s="4">
        <v>0.55000000000000004</v>
      </c>
      <c r="AO46" s="4">
        <v>13</v>
      </c>
      <c r="AP46" s="4">
        <v>0.69899999999999995</v>
      </c>
      <c r="AQ46" s="4">
        <v>3.22</v>
      </c>
      <c r="AR46" s="4">
        <v>0.63600000000000001</v>
      </c>
      <c r="AS46" s="4">
        <v>4.04</v>
      </c>
      <c r="AT46" s="4">
        <v>0.46400000000000002</v>
      </c>
      <c r="AU46" s="4">
        <v>1.1499999999999999</v>
      </c>
      <c r="AV46" s="4">
        <v>0.64900000000000002</v>
      </c>
      <c r="AW46" s="4">
        <v>3.36</v>
      </c>
      <c r="AX46" s="4">
        <v>0.52700000000000002</v>
      </c>
      <c r="AY46" s="4">
        <v>13.6</v>
      </c>
      <c r="AZ46" s="3"/>
      <c r="BA46" s="4">
        <v>0.61799999999999999</v>
      </c>
      <c r="BB46" s="4">
        <v>6.04</v>
      </c>
      <c r="BC46" s="4">
        <v>0.34699999999999998</v>
      </c>
      <c r="BD46" s="4">
        <v>4.71</v>
      </c>
      <c r="BE46" s="4">
        <v>0.41199999999999998</v>
      </c>
      <c r="BF46" s="4">
        <v>1.73</v>
      </c>
      <c r="BG46" s="4">
        <v>0.48199999999999998</v>
      </c>
      <c r="BH46" s="4">
        <v>9.34</v>
      </c>
      <c r="BI46" s="3"/>
      <c r="BJ46" s="3"/>
      <c r="BK46" s="3"/>
      <c r="BL46" s="4">
        <v>0.47799999999999998</v>
      </c>
      <c r="BM46" s="4">
        <v>20.5</v>
      </c>
      <c r="BN46" s="4">
        <v>0.42199999999999999</v>
      </c>
      <c r="BO46" s="4">
        <v>0.74399999999999999</v>
      </c>
      <c r="BP46" s="4">
        <v>0.60599999999999998</v>
      </c>
      <c r="BQ46" s="4">
        <v>12.6</v>
      </c>
      <c r="BR46" s="4">
        <v>0.504</v>
      </c>
      <c r="BS46" s="4">
        <v>1.33</v>
      </c>
      <c r="BT46" s="4">
        <v>4.74</v>
      </c>
      <c r="BU46" s="4">
        <v>3.18</v>
      </c>
      <c r="BV46" s="4">
        <v>1.63</v>
      </c>
      <c r="BW46" s="4">
        <v>22.1</v>
      </c>
      <c r="BX46" s="3"/>
      <c r="BY46" s="4">
        <v>1.4</v>
      </c>
      <c r="BZ46" s="4">
        <v>1.7</v>
      </c>
      <c r="CA46" s="78">
        <v>122</v>
      </c>
    </row>
    <row r="47" spans="1:79">
      <c r="A47" s="93" t="s">
        <v>43</v>
      </c>
      <c r="B47" s="2">
        <v>0.14699999999999999</v>
      </c>
      <c r="C47" s="2">
        <v>6.67</v>
      </c>
      <c r="D47" s="2">
        <v>0.96</v>
      </c>
      <c r="E47" s="2">
        <v>5.96</v>
      </c>
      <c r="F47" s="2">
        <v>0.54500000000000004</v>
      </c>
      <c r="G47" s="2">
        <v>35.6</v>
      </c>
      <c r="H47" s="2">
        <v>0.70399999999999996</v>
      </c>
      <c r="I47" s="2">
        <v>1.94</v>
      </c>
      <c r="J47" s="5"/>
      <c r="K47" s="5"/>
      <c r="L47" s="2">
        <v>0.54500000000000004</v>
      </c>
      <c r="M47" s="2">
        <v>84.6</v>
      </c>
      <c r="N47" s="2">
        <v>0.99199999999999999</v>
      </c>
      <c r="O47" s="2">
        <v>7.12</v>
      </c>
      <c r="P47" s="2">
        <v>0.59399999999999997</v>
      </c>
      <c r="Q47" s="2">
        <v>0.151</v>
      </c>
      <c r="R47" s="2">
        <v>0.45200000000000001</v>
      </c>
      <c r="S47" s="2">
        <v>8.5</v>
      </c>
      <c r="T47" s="2">
        <v>0.627</v>
      </c>
      <c r="U47" s="2">
        <v>0.46100000000000002</v>
      </c>
      <c r="V47" s="2">
        <v>0.219</v>
      </c>
      <c r="W47" s="2">
        <v>5.82</v>
      </c>
      <c r="X47" s="2">
        <v>0.26600000000000001</v>
      </c>
      <c r="Y47" s="2">
        <v>6.09</v>
      </c>
      <c r="Z47" s="2">
        <v>0.16400000000000001</v>
      </c>
      <c r="AA47" s="2">
        <v>9.84</v>
      </c>
      <c r="AB47" s="2">
        <v>0.14099999999999999</v>
      </c>
      <c r="AC47" s="2">
        <v>7.38</v>
      </c>
      <c r="AD47" s="2">
        <v>0.126</v>
      </c>
      <c r="AE47" s="2">
        <v>9.24</v>
      </c>
      <c r="AF47" s="2">
        <v>0.24399999999999999</v>
      </c>
      <c r="AG47" s="2">
        <v>5.05</v>
      </c>
      <c r="AH47" s="2">
        <v>0.497</v>
      </c>
      <c r="AI47" s="2">
        <v>22.6</v>
      </c>
      <c r="AJ47" s="2">
        <v>0.28599999999999998</v>
      </c>
      <c r="AK47" s="2">
        <v>19.100000000000001</v>
      </c>
      <c r="AL47" s="2">
        <v>0.64100000000000001</v>
      </c>
      <c r="AM47" s="2">
        <v>35.299999999999997</v>
      </c>
      <c r="AN47" s="2">
        <v>0.39</v>
      </c>
      <c r="AO47" s="2">
        <v>52</v>
      </c>
      <c r="AP47" s="2">
        <v>0.52100000000000002</v>
      </c>
      <c r="AQ47" s="2">
        <v>57.1</v>
      </c>
      <c r="AR47" s="2">
        <v>0.378</v>
      </c>
      <c r="AS47" s="2">
        <v>60.5</v>
      </c>
      <c r="AT47" s="2">
        <v>0.26100000000000001</v>
      </c>
      <c r="AU47" s="2">
        <v>26.4</v>
      </c>
      <c r="AV47" s="2">
        <v>0.32100000000000001</v>
      </c>
      <c r="AW47" s="2">
        <v>24.3</v>
      </c>
      <c r="AX47" s="2">
        <v>0.27300000000000002</v>
      </c>
      <c r="AY47" s="2">
        <v>17.399999999999999</v>
      </c>
      <c r="AZ47" s="5"/>
      <c r="BA47" s="2">
        <v>0.17799999999999999</v>
      </c>
      <c r="BB47" s="2">
        <v>20.399999999999999</v>
      </c>
      <c r="BC47" s="2">
        <v>0.17</v>
      </c>
      <c r="BD47" s="2">
        <v>18.8</v>
      </c>
      <c r="BE47" s="2">
        <v>0.22</v>
      </c>
      <c r="BF47" s="2">
        <v>18.899999999999999</v>
      </c>
      <c r="BG47" s="2">
        <v>0.313</v>
      </c>
      <c r="BH47" s="2">
        <v>14</v>
      </c>
      <c r="BI47" s="5"/>
      <c r="BJ47" s="5"/>
      <c r="BK47" s="5"/>
      <c r="BL47" s="2">
        <v>0.32800000000000001</v>
      </c>
      <c r="BM47" s="2">
        <v>57.9</v>
      </c>
      <c r="BN47" s="2">
        <v>0.191</v>
      </c>
      <c r="BO47" s="2">
        <v>18.100000000000001</v>
      </c>
      <c r="BP47" s="2">
        <v>0.246</v>
      </c>
      <c r="BQ47" s="2">
        <v>28.2</v>
      </c>
      <c r="BR47" s="2">
        <v>0.156</v>
      </c>
      <c r="BS47" s="2">
        <v>19.399999999999999</v>
      </c>
      <c r="BT47" s="2">
        <v>0.67</v>
      </c>
      <c r="BU47" s="2">
        <v>6.04</v>
      </c>
      <c r="BV47" s="2">
        <v>0.61799999999999999</v>
      </c>
      <c r="BW47" s="2">
        <v>1.1399999999999999</v>
      </c>
      <c r="BX47" s="5"/>
      <c r="BY47" s="2">
        <v>0.36799999999999999</v>
      </c>
      <c r="BZ47" s="2">
        <v>0.222</v>
      </c>
      <c r="CA47" s="79">
        <v>60.3</v>
      </c>
    </row>
    <row r="48" spans="1:79">
      <c r="A48" s="93" t="s">
        <v>44</v>
      </c>
      <c r="B48" s="4">
        <v>0.28299999999999997</v>
      </c>
      <c r="C48" s="4">
        <v>16.7</v>
      </c>
      <c r="D48" s="4">
        <v>0.68799999999999994</v>
      </c>
      <c r="E48" s="4">
        <v>14.3</v>
      </c>
      <c r="F48" s="4">
        <v>0.89900000000000002</v>
      </c>
      <c r="G48" s="4">
        <v>31.2</v>
      </c>
      <c r="H48" s="4">
        <v>0.81799999999999995</v>
      </c>
      <c r="I48" s="4">
        <v>30</v>
      </c>
      <c r="J48" s="3"/>
      <c r="K48" s="3"/>
      <c r="L48" s="4">
        <v>0.68799999999999994</v>
      </c>
      <c r="M48" s="4">
        <v>18.899999999999999</v>
      </c>
      <c r="N48" s="4">
        <v>0.73399999999999999</v>
      </c>
      <c r="O48" s="4">
        <v>33.9</v>
      </c>
      <c r="P48" s="4">
        <v>0.63200000000000001</v>
      </c>
      <c r="Q48" s="4">
        <v>3.4</v>
      </c>
      <c r="R48" s="4">
        <v>0.79400000000000004</v>
      </c>
      <c r="S48" s="4">
        <v>9.31</v>
      </c>
      <c r="T48" s="4">
        <v>0.78800000000000003</v>
      </c>
      <c r="U48" s="4">
        <v>10.9</v>
      </c>
      <c r="V48" s="4">
        <v>1.28</v>
      </c>
      <c r="W48" s="4">
        <v>18.600000000000001</v>
      </c>
      <c r="X48" s="4">
        <v>1.68</v>
      </c>
      <c r="Y48" s="4">
        <v>4.4000000000000004</v>
      </c>
      <c r="Z48" s="4">
        <v>0.28599999999999998</v>
      </c>
      <c r="AA48" s="4">
        <v>9.7100000000000009</v>
      </c>
      <c r="AB48" s="4">
        <v>0.28000000000000003</v>
      </c>
      <c r="AC48" s="4">
        <v>10.8</v>
      </c>
      <c r="AD48" s="4">
        <v>0.34</v>
      </c>
      <c r="AE48" s="4">
        <v>11</v>
      </c>
      <c r="AF48" s="4">
        <v>1.35</v>
      </c>
      <c r="AG48" s="4">
        <v>18.8</v>
      </c>
      <c r="AH48" s="4">
        <v>0.71099999999999997</v>
      </c>
      <c r="AI48" s="4">
        <v>7.25</v>
      </c>
      <c r="AJ48" s="4">
        <v>0.72699999999999998</v>
      </c>
      <c r="AK48" s="4">
        <v>8</v>
      </c>
      <c r="AL48" s="4">
        <v>1.1499999999999999</v>
      </c>
      <c r="AM48" s="4">
        <v>21</v>
      </c>
      <c r="AN48" s="4">
        <v>0.69899999999999995</v>
      </c>
      <c r="AO48" s="4">
        <v>1.07</v>
      </c>
      <c r="AP48" s="4">
        <v>0.74199999999999999</v>
      </c>
      <c r="AQ48" s="4">
        <v>7.62</v>
      </c>
      <c r="AR48" s="4">
        <v>0.74099999999999999</v>
      </c>
      <c r="AS48" s="4">
        <v>21.3</v>
      </c>
      <c r="AT48" s="4">
        <v>0.75</v>
      </c>
      <c r="AU48" s="4">
        <v>10</v>
      </c>
      <c r="AV48" s="4">
        <v>0.83599999999999997</v>
      </c>
      <c r="AW48" s="4">
        <v>3.59</v>
      </c>
      <c r="AX48" s="4">
        <v>0.80600000000000005</v>
      </c>
      <c r="AY48" s="4">
        <v>0.28399999999999997</v>
      </c>
      <c r="AZ48" s="3"/>
      <c r="BA48" s="4">
        <v>0.56999999999999995</v>
      </c>
      <c r="BB48" s="4">
        <v>7.91</v>
      </c>
      <c r="BC48" s="4">
        <v>0.39800000000000002</v>
      </c>
      <c r="BD48" s="4">
        <v>10.4</v>
      </c>
      <c r="BE48" s="4">
        <v>0.48599999999999999</v>
      </c>
      <c r="BF48" s="4">
        <v>14.4</v>
      </c>
      <c r="BG48" s="4">
        <v>0.86899999999999999</v>
      </c>
      <c r="BH48" s="4">
        <v>10.3</v>
      </c>
      <c r="BI48" s="3"/>
      <c r="BJ48" s="3"/>
      <c r="BK48" s="3"/>
      <c r="BL48" s="4">
        <v>0.60599999999999998</v>
      </c>
      <c r="BM48" s="4">
        <v>26.9</v>
      </c>
      <c r="BN48" s="4">
        <v>0.34</v>
      </c>
      <c r="BO48" s="4">
        <v>13.7</v>
      </c>
      <c r="BP48" s="4">
        <v>1.22</v>
      </c>
      <c r="BQ48" s="4">
        <v>14.3</v>
      </c>
      <c r="BR48" s="4">
        <v>0.45200000000000001</v>
      </c>
      <c r="BS48" s="4">
        <v>8.09</v>
      </c>
      <c r="BT48" s="4">
        <v>0.72299999999999998</v>
      </c>
      <c r="BU48" s="4">
        <v>43.4</v>
      </c>
      <c r="BV48" s="4">
        <v>0.70599999999999996</v>
      </c>
      <c r="BW48" s="4">
        <v>33.9</v>
      </c>
      <c r="BX48" s="3"/>
      <c r="BY48" s="4">
        <v>0.67500000000000004</v>
      </c>
      <c r="BZ48" s="4">
        <v>0.307</v>
      </c>
      <c r="CA48" s="78">
        <v>45.5</v>
      </c>
    </row>
    <row r="49" spans="1:79">
      <c r="A49" s="93" t="s">
        <v>45</v>
      </c>
      <c r="B49" s="2">
        <v>0.308</v>
      </c>
      <c r="C49" s="2">
        <v>3.07</v>
      </c>
      <c r="D49" s="2">
        <v>1.75</v>
      </c>
      <c r="E49" s="2">
        <v>21</v>
      </c>
      <c r="F49" s="2">
        <v>1.1499999999999999</v>
      </c>
      <c r="G49" s="2">
        <v>24.9</v>
      </c>
      <c r="H49" s="2">
        <v>1.1200000000000001</v>
      </c>
      <c r="I49" s="2">
        <v>53.7</v>
      </c>
      <c r="J49" s="5"/>
      <c r="K49" s="5"/>
      <c r="L49" s="2">
        <v>0.64100000000000001</v>
      </c>
      <c r="M49" s="2">
        <v>57.7</v>
      </c>
      <c r="N49" s="2">
        <v>1.7</v>
      </c>
      <c r="O49" s="2">
        <v>64.900000000000006</v>
      </c>
      <c r="P49" s="2">
        <v>0.78900000000000003</v>
      </c>
      <c r="Q49" s="2">
        <v>1.1399999999999999</v>
      </c>
      <c r="R49" s="2">
        <v>1.41</v>
      </c>
      <c r="S49" s="2">
        <v>20.399999999999999</v>
      </c>
      <c r="T49" s="2">
        <v>1.48</v>
      </c>
      <c r="U49" s="2">
        <v>58.8</v>
      </c>
      <c r="V49" s="2">
        <v>0.85199999999999998</v>
      </c>
      <c r="W49" s="2">
        <v>43.8</v>
      </c>
      <c r="X49" s="2">
        <v>0.76100000000000001</v>
      </c>
      <c r="Y49" s="2">
        <v>20.100000000000001</v>
      </c>
      <c r="Z49" s="2">
        <v>0.371</v>
      </c>
      <c r="AA49" s="2">
        <v>11.4</v>
      </c>
      <c r="AB49" s="2">
        <v>0.35</v>
      </c>
      <c r="AC49" s="2">
        <v>11.2</v>
      </c>
      <c r="AD49" s="2">
        <v>0.308</v>
      </c>
      <c r="AE49" s="2">
        <v>8.34</v>
      </c>
      <c r="AF49" s="2">
        <v>0.64400000000000002</v>
      </c>
      <c r="AG49" s="2">
        <v>38.5</v>
      </c>
      <c r="AH49" s="2">
        <v>1.46</v>
      </c>
      <c r="AI49" s="2">
        <v>28.5</v>
      </c>
      <c r="AJ49" s="2">
        <v>0.94799999999999995</v>
      </c>
      <c r="AK49" s="2">
        <v>12.5</v>
      </c>
      <c r="AL49" s="2">
        <v>0.42599999999999999</v>
      </c>
      <c r="AM49" s="2">
        <v>20</v>
      </c>
      <c r="AN49" s="2">
        <v>0.56899999999999995</v>
      </c>
      <c r="AO49" s="2">
        <v>5.58</v>
      </c>
      <c r="AP49" s="2">
        <v>0.49399999999999999</v>
      </c>
      <c r="AQ49" s="2">
        <v>19.7</v>
      </c>
      <c r="AR49" s="2">
        <v>0.36099999999999999</v>
      </c>
      <c r="AS49" s="2">
        <v>11.1</v>
      </c>
      <c r="AT49" s="2">
        <v>0.96499999999999997</v>
      </c>
      <c r="AU49" s="2">
        <v>27.2</v>
      </c>
      <c r="AV49" s="2">
        <v>1.43</v>
      </c>
      <c r="AW49" s="2">
        <v>20.2</v>
      </c>
      <c r="AX49" s="2">
        <v>1.0900000000000001</v>
      </c>
      <c r="AY49" s="2">
        <v>8.94</v>
      </c>
      <c r="AZ49" s="5"/>
      <c r="BA49" s="2">
        <v>0.46</v>
      </c>
      <c r="BB49" s="2">
        <v>3.97</v>
      </c>
      <c r="BC49" s="2">
        <v>0.502</v>
      </c>
      <c r="BD49" s="2">
        <v>5.89</v>
      </c>
      <c r="BE49" s="2">
        <v>0.42299999999999999</v>
      </c>
      <c r="BF49" s="2">
        <v>3.13</v>
      </c>
      <c r="BG49" s="2">
        <v>0.17299999999999999</v>
      </c>
      <c r="BH49" s="2">
        <v>4.99</v>
      </c>
      <c r="BI49" s="5"/>
      <c r="BJ49" s="5"/>
      <c r="BK49" s="5"/>
      <c r="BL49" s="2">
        <v>0.34100000000000003</v>
      </c>
      <c r="BM49" s="2">
        <v>7.36</v>
      </c>
      <c r="BN49" s="2">
        <v>0.67</v>
      </c>
      <c r="BO49" s="2">
        <v>10.1</v>
      </c>
      <c r="BP49" s="2">
        <v>0.93100000000000005</v>
      </c>
      <c r="BQ49" s="2">
        <v>39.1</v>
      </c>
      <c r="BR49" s="2">
        <v>0.73</v>
      </c>
      <c r="BS49" s="2">
        <v>6.09</v>
      </c>
      <c r="BT49" s="2">
        <v>3.22</v>
      </c>
      <c r="BU49" s="2">
        <v>7.48</v>
      </c>
      <c r="BV49" s="2">
        <v>1.08</v>
      </c>
      <c r="BW49" s="2">
        <v>22.8</v>
      </c>
      <c r="BX49" s="5"/>
      <c r="BY49" s="2">
        <v>1.1599999999999999</v>
      </c>
      <c r="BZ49" s="2">
        <v>1.04</v>
      </c>
      <c r="CA49" s="79">
        <v>89.5</v>
      </c>
    </row>
    <row r="50" spans="1:79">
      <c r="A50" s="93" t="s">
        <v>46</v>
      </c>
      <c r="B50" s="4">
        <v>0.14000000000000001</v>
      </c>
      <c r="C50" s="4">
        <v>36.6</v>
      </c>
      <c r="D50" s="4">
        <v>0.52800000000000002</v>
      </c>
      <c r="E50" s="4">
        <v>30.5</v>
      </c>
      <c r="F50" s="4">
        <v>0.69699999999999995</v>
      </c>
      <c r="G50" s="4">
        <v>15</v>
      </c>
      <c r="H50" s="4">
        <v>0.13600000000000001</v>
      </c>
      <c r="I50" s="4">
        <v>10.3</v>
      </c>
      <c r="J50" s="3"/>
      <c r="K50" s="3"/>
      <c r="L50" s="4">
        <v>0.34</v>
      </c>
      <c r="M50" s="4">
        <v>7.31</v>
      </c>
      <c r="N50" s="4">
        <v>0.371</v>
      </c>
      <c r="O50" s="4">
        <v>78.599999999999994</v>
      </c>
      <c r="P50" s="4">
        <v>0.35299999999999998</v>
      </c>
      <c r="Q50" s="4">
        <v>75.900000000000006</v>
      </c>
      <c r="R50" s="4">
        <v>0.36699999999999999</v>
      </c>
      <c r="S50" s="4">
        <v>37.799999999999997</v>
      </c>
      <c r="T50" s="4">
        <v>0.39800000000000002</v>
      </c>
      <c r="U50" s="4">
        <v>1.69</v>
      </c>
      <c r="V50" s="4">
        <v>0.25900000000000001</v>
      </c>
      <c r="W50" s="4">
        <v>40.299999999999997</v>
      </c>
      <c r="X50" s="4">
        <v>0.19900000000000001</v>
      </c>
      <c r="Y50" s="4">
        <v>37.299999999999997</v>
      </c>
      <c r="Z50" s="4">
        <v>0.11899999999999999</v>
      </c>
      <c r="AA50" s="4">
        <v>32.4</v>
      </c>
      <c r="AB50" s="4">
        <v>0.11899999999999999</v>
      </c>
      <c r="AC50" s="4">
        <v>13.5</v>
      </c>
      <c r="AD50" s="4">
        <v>9.9299999999999999E-2</v>
      </c>
      <c r="AE50" s="4">
        <v>32</v>
      </c>
      <c r="AF50" s="4">
        <v>0.23300000000000001</v>
      </c>
      <c r="AG50" s="4">
        <v>40.4</v>
      </c>
      <c r="AH50" s="4">
        <v>0.42399999999999999</v>
      </c>
      <c r="AI50" s="4">
        <v>13</v>
      </c>
      <c r="AJ50" s="4">
        <v>0.192</v>
      </c>
      <c r="AK50" s="4">
        <v>46.7</v>
      </c>
      <c r="AL50" s="4">
        <v>0.13900000000000001</v>
      </c>
      <c r="AM50" s="4">
        <v>10.3</v>
      </c>
      <c r="AN50" s="4">
        <v>0.22800000000000001</v>
      </c>
      <c r="AO50" s="4">
        <v>1.0900000000000001</v>
      </c>
      <c r="AP50" s="4">
        <v>0.216</v>
      </c>
      <c r="AQ50" s="4">
        <v>14.1</v>
      </c>
      <c r="AR50" s="4">
        <v>0.33600000000000002</v>
      </c>
      <c r="AS50" s="4">
        <v>1.06</v>
      </c>
      <c r="AT50" s="4">
        <v>0.221</v>
      </c>
      <c r="AU50" s="4">
        <v>5.05</v>
      </c>
      <c r="AV50" s="4">
        <v>0.221</v>
      </c>
      <c r="AW50" s="4">
        <v>32</v>
      </c>
      <c r="AX50" s="4">
        <v>0.24199999999999999</v>
      </c>
      <c r="AY50" s="4">
        <v>21.3</v>
      </c>
      <c r="AZ50" s="3"/>
      <c r="BA50" s="4">
        <v>0.17199999999999999</v>
      </c>
      <c r="BB50" s="4">
        <v>21.4</v>
      </c>
      <c r="BC50" s="4">
        <v>0.14099999999999999</v>
      </c>
      <c r="BD50" s="4">
        <v>16.3</v>
      </c>
      <c r="BE50" s="4">
        <v>0.16500000000000001</v>
      </c>
      <c r="BF50" s="4">
        <v>15.1</v>
      </c>
      <c r="BG50" s="4">
        <v>4.0399999999999998E-2</v>
      </c>
      <c r="BH50" s="4">
        <v>18.100000000000001</v>
      </c>
      <c r="BI50" s="3"/>
      <c r="BJ50" s="3"/>
      <c r="BK50" s="3"/>
      <c r="BL50" s="4">
        <v>0.17199999999999999</v>
      </c>
      <c r="BM50" s="4">
        <v>14</v>
      </c>
      <c r="BN50" s="4">
        <v>0.153</v>
      </c>
      <c r="BO50" s="4">
        <v>18.8</v>
      </c>
      <c r="BP50" s="4">
        <v>0.13900000000000001</v>
      </c>
      <c r="BQ50" s="4">
        <v>10.8</v>
      </c>
      <c r="BR50" s="4">
        <v>0.18</v>
      </c>
      <c r="BS50" s="4">
        <v>12.3</v>
      </c>
      <c r="BT50" s="4">
        <v>0.27700000000000002</v>
      </c>
      <c r="BU50" s="4">
        <v>29.7</v>
      </c>
      <c r="BV50" s="4">
        <v>0.47199999999999998</v>
      </c>
      <c r="BW50" s="4">
        <v>40.6</v>
      </c>
      <c r="BX50" s="3"/>
      <c r="BY50" s="4">
        <v>0.23200000000000001</v>
      </c>
      <c r="BZ50" s="4">
        <v>0.127</v>
      </c>
      <c r="CA50" s="78">
        <v>54.8</v>
      </c>
    </row>
    <row r="51" spans="1:79">
      <c r="A51" s="93" t="s">
        <v>47</v>
      </c>
      <c r="B51" s="2">
        <v>0.152</v>
      </c>
      <c r="C51" s="2">
        <v>46.3</v>
      </c>
      <c r="D51" s="2">
        <v>0.6</v>
      </c>
      <c r="E51" s="2">
        <v>7.17</v>
      </c>
      <c r="F51" s="2">
        <v>0.17599999999999999</v>
      </c>
      <c r="G51" s="2">
        <v>63.1</v>
      </c>
      <c r="H51" s="2">
        <v>0.26400000000000001</v>
      </c>
      <c r="I51" s="2">
        <v>37.200000000000003</v>
      </c>
      <c r="J51" s="5"/>
      <c r="K51" s="5"/>
      <c r="L51" s="2">
        <v>0.28599999999999998</v>
      </c>
      <c r="M51" s="2">
        <v>6.88</v>
      </c>
      <c r="N51" s="2">
        <v>0.38500000000000001</v>
      </c>
      <c r="O51" s="2">
        <v>8.4700000000000006</v>
      </c>
      <c r="P51" s="2">
        <v>0.38400000000000001</v>
      </c>
      <c r="Q51" s="2">
        <v>0</v>
      </c>
      <c r="R51" s="2">
        <v>0.191</v>
      </c>
      <c r="S51" s="2">
        <v>0</v>
      </c>
      <c r="T51" s="2">
        <v>0.45200000000000001</v>
      </c>
      <c r="U51" s="2">
        <v>0</v>
      </c>
      <c r="V51" s="2">
        <v>0.154</v>
      </c>
      <c r="W51" s="2">
        <v>21.7</v>
      </c>
      <c r="X51" s="2">
        <v>0.22900000000000001</v>
      </c>
      <c r="Y51" s="2">
        <v>3.75</v>
      </c>
      <c r="Z51" s="2">
        <v>0.13800000000000001</v>
      </c>
      <c r="AA51" s="2">
        <v>45</v>
      </c>
      <c r="AB51" s="2">
        <v>0.122</v>
      </c>
      <c r="AC51" s="2">
        <v>43.1</v>
      </c>
      <c r="AD51" s="2">
        <v>0.115</v>
      </c>
      <c r="AE51" s="2">
        <v>47.4</v>
      </c>
      <c r="AF51" s="2">
        <v>0.27500000000000002</v>
      </c>
      <c r="AG51" s="2">
        <v>2.61</v>
      </c>
      <c r="AH51" s="2">
        <v>0.36099999999999999</v>
      </c>
      <c r="AI51" s="2">
        <v>0</v>
      </c>
      <c r="AJ51" s="2">
        <v>0.17399999999999999</v>
      </c>
      <c r="AK51" s="2">
        <v>25.3</v>
      </c>
      <c r="AL51" s="2">
        <v>0.23</v>
      </c>
      <c r="AM51" s="2">
        <v>20.3</v>
      </c>
      <c r="AN51" s="2">
        <v>0.13100000000000001</v>
      </c>
      <c r="AO51" s="2">
        <v>15.7</v>
      </c>
      <c r="AP51" s="2">
        <v>0.217</v>
      </c>
      <c r="AQ51" s="2">
        <v>11.7</v>
      </c>
      <c r="AR51" s="2">
        <v>0.155</v>
      </c>
      <c r="AS51" s="2">
        <v>11.9</v>
      </c>
      <c r="AT51" s="2">
        <v>9.4600000000000004E-2</v>
      </c>
      <c r="AU51" s="2">
        <v>1.1299999999999999</v>
      </c>
      <c r="AV51" s="2">
        <v>0.16300000000000001</v>
      </c>
      <c r="AW51" s="2">
        <v>25.7</v>
      </c>
      <c r="AX51" s="2">
        <v>0.12</v>
      </c>
      <c r="AY51" s="2">
        <v>9.0500000000000007</v>
      </c>
      <c r="AZ51" s="5"/>
      <c r="BA51" s="2">
        <v>0.16600000000000001</v>
      </c>
      <c r="BB51" s="2">
        <v>27.6</v>
      </c>
      <c r="BC51" s="2">
        <v>0.24099999999999999</v>
      </c>
      <c r="BD51" s="2">
        <v>40.700000000000003</v>
      </c>
      <c r="BE51" s="2">
        <v>0.20799999999999999</v>
      </c>
      <c r="BF51" s="2">
        <v>22.1</v>
      </c>
      <c r="BG51" s="2">
        <v>0.16200000000000001</v>
      </c>
      <c r="BH51" s="2">
        <v>29.2</v>
      </c>
      <c r="BI51" s="5"/>
      <c r="BJ51" s="5"/>
      <c r="BK51" s="5"/>
      <c r="BL51" s="2">
        <v>0.14699999999999999</v>
      </c>
      <c r="BM51" s="2">
        <v>47.6</v>
      </c>
      <c r="BN51" s="2">
        <v>0.151</v>
      </c>
      <c r="BO51" s="2">
        <v>45.5</v>
      </c>
      <c r="BP51" s="2">
        <v>0.25</v>
      </c>
      <c r="BQ51" s="2">
        <v>6.28</v>
      </c>
      <c r="BR51" s="2">
        <v>0.161</v>
      </c>
      <c r="BS51" s="2">
        <v>30.9</v>
      </c>
      <c r="BT51" s="2">
        <v>0.34899999999999998</v>
      </c>
      <c r="BU51" s="2">
        <v>37.700000000000003</v>
      </c>
      <c r="BV51" s="2">
        <v>0.23599999999999999</v>
      </c>
      <c r="BW51" s="2">
        <v>0</v>
      </c>
      <c r="BX51" s="5"/>
      <c r="BY51" s="2">
        <v>0.216</v>
      </c>
      <c r="BZ51" s="2">
        <v>7.8799999999999995E-2</v>
      </c>
      <c r="CA51" s="79">
        <v>36.5</v>
      </c>
    </row>
    <row r="52" spans="1:79">
      <c r="A52" s="93" t="s">
        <v>48</v>
      </c>
      <c r="B52" s="4">
        <v>3.8699999999999998E-2</v>
      </c>
      <c r="C52" s="4">
        <v>21</v>
      </c>
      <c r="D52" s="4">
        <v>2.3599999999999999E-2</v>
      </c>
      <c r="E52" s="4">
        <v>43.1</v>
      </c>
      <c r="F52" s="4">
        <v>1.0500000000000001E-2</v>
      </c>
      <c r="G52" s="4">
        <v>86</v>
      </c>
      <c r="H52" s="4">
        <v>1.2E-2</v>
      </c>
      <c r="I52" s="4">
        <v>100</v>
      </c>
      <c r="J52" s="3"/>
      <c r="K52" s="3"/>
      <c r="L52" s="4">
        <v>8.8500000000000002E-3</v>
      </c>
      <c r="M52" s="4">
        <v>77.3</v>
      </c>
      <c r="N52" s="4">
        <v>6.3400000000000001E-3</v>
      </c>
      <c r="O52" s="4">
        <v>38.1</v>
      </c>
      <c r="P52" s="4">
        <v>2.7900000000000001E-2</v>
      </c>
      <c r="Q52" s="4">
        <v>42</v>
      </c>
      <c r="R52" s="4">
        <v>2.06E-2</v>
      </c>
      <c r="S52" s="4">
        <v>9.11</v>
      </c>
      <c r="T52" s="4">
        <v>5.6399999999999999E-2</v>
      </c>
      <c r="U52" s="4">
        <v>3.42</v>
      </c>
      <c r="V52" s="4">
        <v>4.79E-3</v>
      </c>
      <c r="W52" s="4">
        <v>2.93</v>
      </c>
      <c r="X52" s="4">
        <v>5.1700000000000001E-3</v>
      </c>
      <c r="Y52" s="4">
        <v>4.5199999999999996</v>
      </c>
      <c r="Z52" s="4">
        <v>3.15E-2</v>
      </c>
      <c r="AA52" s="4">
        <v>35.4</v>
      </c>
      <c r="AB52" s="4">
        <v>4.7399999999999998E-2</v>
      </c>
      <c r="AC52" s="4">
        <v>40.200000000000003</v>
      </c>
      <c r="AD52" s="4">
        <v>4.53E-2</v>
      </c>
      <c r="AE52" s="4">
        <v>29.8</v>
      </c>
      <c r="AF52" s="4">
        <v>5.8300000000000001E-3</v>
      </c>
      <c r="AG52" s="4">
        <v>6.31</v>
      </c>
      <c r="AH52" s="4">
        <v>5.1400000000000001E-2</v>
      </c>
      <c r="AI52" s="4">
        <v>90.2</v>
      </c>
      <c r="AJ52" s="4">
        <v>9.3500000000000007E-3</v>
      </c>
      <c r="AK52" s="4">
        <v>54.4</v>
      </c>
      <c r="AL52" s="4">
        <v>8.4000000000000005E-2</v>
      </c>
      <c r="AM52" s="4">
        <v>43.3</v>
      </c>
      <c r="AN52" s="4">
        <v>7.7600000000000002E-2</v>
      </c>
      <c r="AO52" s="4">
        <v>3.13</v>
      </c>
      <c r="AP52" s="4">
        <v>8.8499999999999995E-2</v>
      </c>
      <c r="AQ52" s="4">
        <v>7.21</v>
      </c>
      <c r="AR52" s="4">
        <v>9.9099999999999994E-2</v>
      </c>
      <c r="AS52" s="4">
        <v>14.2</v>
      </c>
      <c r="AT52" s="4">
        <v>1.0200000000000001E-2</v>
      </c>
      <c r="AU52" s="4">
        <v>76.400000000000006</v>
      </c>
      <c r="AV52" s="4">
        <v>8.4799999999999997E-3</v>
      </c>
      <c r="AW52" s="4">
        <v>40.799999999999997</v>
      </c>
      <c r="AX52" s="4">
        <v>4.4299999999999999E-3</v>
      </c>
      <c r="AY52" s="4">
        <v>25.1</v>
      </c>
      <c r="AZ52" s="3"/>
      <c r="BA52" s="4">
        <v>1.9599999999999999E-3</v>
      </c>
      <c r="BB52" s="4">
        <v>20.100000000000001</v>
      </c>
      <c r="BC52" s="4">
        <v>2.9299999999999999E-3</v>
      </c>
      <c r="BD52" s="4">
        <v>27.9</v>
      </c>
      <c r="BE52" s="4">
        <v>1.23E-3</v>
      </c>
      <c r="BF52" s="4">
        <v>32.799999999999997</v>
      </c>
      <c r="BG52" s="4">
        <v>9.3900000000000008E-3</v>
      </c>
      <c r="BH52" s="4">
        <v>43.9</v>
      </c>
      <c r="BI52" s="3"/>
      <c r="BJ52" s="3"/>
      <c r="BK52" s="3"/>
      <c r="BL52" s="4">
        <v>7.0699999999999999E-2</v>
      </c>
      <c r="BM52" s="4">
        <v>14.1</v>
      </c>
      <c r="BN52" s="4">
        <v>1.8100000000000002E-2</v>
      </c>
      <c r="BO52" s="4">
        <v>73.7</v>
      </c>
      <c r="BP52" s="4">
        <v>5.8900000000000003E-3</v>
      </c>
      <c r="BQ52" s="4">
        <v>10.6</v>
      </c>
      <c r="BR52" s="4">
        <v>1.08E-3</v>
      </c>
      <c r="BS52" s="4">
        <v>35.9</v>
      </c>
      <c r="BT52" s="4">
        <v>2.2100000000000002E-2</v>
      </c>
      <c r="BU52" s="4">
        <v>38.700000000000003</v>
      </c>
      <c r="BV52" s="4">
        <v>1.9800000000000002E-2</v>
      </c>
      <c r="BW52" s="4">
        <v>3.55</v>
      </c>
      <c r="BX52" s="3"/>
      <c r="BY52" s="4">
        <v>2.29E-2</v>
      </c>
      <c r="BZ52" s="4">
        <v>2.4799999999999999E-2</v>
      </c>
      <c r="CA52" s="78">
        <v>108</v>
      </c>
    </row>
    <row r="53" spans="1:79">
      <c r="A53" s="93" t="s">
        <v>49</v>
      </c>
      <c r="B53" s="2">
        <v>0.35</v>
      </c>
      <c r="C53" s="2">
        <v>7.92</v>
      </c>
      <c r="D53" s="2">
        <v>0.63900000000000001</v>
      </c>
      <c r="E53" s="5"/>
      <c r="F53" s="2">
        <v>0.67300000000000004</v>
      </c>
      <c r="G53" s="5"/>
      <c r="H53" s="2">
        <v>0.47199999999999998</v>
      </c>
      <c r="I53" s="5"/>
      <c r="J53" s="5"/>
      <c r="K53" s="5"/>
      <c r="L53" s="2">
        <v>0.45900000000000002</v>
      </c>
      <c r="M53" s="5"/>
      <c r="N53" s="2">
        <v>0.72399999999999998</v>
      </c>
      <c r="O53" s="5"/>
      <c r="P53" s="2">
        <v>0.66200000000000003</v>
      </c>
      <c r="Q53" s="2">
        <v>64.599999999999994</v>
      </c>
      <c r="R53" s="2">
        <v>0.37</v>
      </c>
      <c r="S53" s="2">
        <v>35.4</v>
      </c>
      <c r="T53" s="2">
        <v>1.1299999999999999</v>
      </c>
      <c r="U53" s="2">
        <v>11.2</v>
      </c>
      <c r="V53" s="2">
        <v>0.33600000000000002</v>
      </c>
      <c r="W53" s="2">
        <v>11.1</v>
      </c>
      <c r="X53" s="2">
        <v>0.29599999999999999</v>
      </c>
      <c r="Y53" s="2">
        <v>68</v>
      </c>
      <c r="Z53" s="2">
        <v>0.28999999999999998</v>
      </c>
      <c r="AA53" s="2">
        <v>7.67</v>
      </c>
      <c r="AB53" s="2">
        <v>0.311</v>
      </c>
      <c r="AC53" s="2">
        <v>18</v>
      </c>
      <c r="AD53" s="2">
        <v>0.34899999999999998</v>
      </c>
      <c r="AE53" s="2">
        <v>0.96</v>
      </c>
      <c r="AF53" s="2">
        <v>0.38100000000000001</v>
      </c>
      <c r="AG53" s="2">
        <v>18.600000000000001</v>
      </c>
      <c r="AH53" s="2">
        <v>0.55100000000000005</v>
      </c>
      <c r="AI53" s="2">
        <v>24.7</v>
      </c>
      <c r="AJ53" s="2">
        <v>0.32100000000000001</v>
      </c>
      <c r="AK53" s="2">
        <v>33.4</v>
      </c>
      <c r="AL53" s="2">
        <v>0.156</v>
      </c>
      <c r="AM53" s="2">
        <v>31.4</v>
      </c>
      <c r="AN53" s="2">
        <v>0.38800000000000001</v>
      </c>
      <c r="AO53" s="2">
        <v>23.2</v>
      </c>
      <c r="AP53" s="2">
        <v>0.497</v>
      </c>
      <c r="AQ53" s="2">
        <v>8.61</v>
      </c>
      <c r="AR53" s="2">
        <v>0.53700000000000003</v>
      </c>
      <c r="AS53" s="2">
        <v>26.7</v>
      </c>
      <c r="AT53" s="2">
        <v>0.28399999999999997</v>
      </c>
      <c r="AU53" s="2">
        <v>12.1</v>
      </c>
      <c r="AV53" s="2">
        <v>0.308</v>
      </c>
      <c r="AW53" s="2">
        <v>25.9</v>
      </c>
      <c r="AX53" s="2">
        <v>0.36299999999999999</v>
      </c>
      <c r="AY53" s="2">
        <v>29.1</v>
      </c>
      <c r="AZ53" s="5"/>
      <c r="BA53" s="2">
        <v>0.39300000000000002</v>
      </c>
      <c r="BB53" s="2">
        <v>38.299999999999997</v>
      </c>
      <c r="BC53" s="2">
        <v>0.156</v>
      </c>
      <c r="BD53" s="2">
        <v>11.2</v>
      </c>
      <c r="BE53" s="2">
        <v>5.6800000000000003E-2</v>
      </c>
      <c r="BF53" s="2">
        <v>54.1</v>
      </c>
      <c r="BG53" s="2">
        <v>9.8599999999999993E-2</v>
      </c>
      <c r="BH53" s="2">
        <v>32.700000000000003</v>
      </c>
      <c r="BI53" s="5"/>
      <c r="BJ53" s="5"/>
      <c r="BK53" s="5"/>
      <c r="BL53" s="2">
        <v>0.23400000000000001</v>
      </c>
      <c r="BM53" s="2">
        <v>21.5</v>
      </c>
      <c r="BN53" s="2">
        <v>0.40699999999999997</v>
      </c>
      <c r="BO53" s="2">
        <v>12.6</v>
      </c>
      <c r="BP53" s="2">
        <v>0.40899999999999997</v>
      </c>
      <c r="BQ53" s="2">
        <v>3.22</v>
      </c>
      <c r="BR53" s="2">
        <v>0.36099999999999999</v>
      </c>
      <c r="BS53" s="2">
        <v>40.1</v>
      </c>
      <c r="BT53" s="2">
        <v>0.70899999999999996</v>
      </c>
      <c r="BU53" s="2">
        <v>0</v>
      </c>
      <c r="BV53" s="2">
        <v>0.53200000000000003</v>
      </c>
      <c r="BW53" s="2">
        <v>16.2</v>
      </c>
      <c r="BX53" s="5"/>
      <c r="BY53" s="2">
        <v>0.442</v>
      </c>
      <c r="BZ53" s="2">
        <v>0.16200000000000001</v>
      </c>
      <c r="CA53" s="79">
        <v>36.700000000000003</v>
      </c>
    </row>
    <row r="54" spans="1:79">
      <c r="A54" s="93" t="s">
        <v>50</v>
      </c>
      <c r="B54" s="4">
        <v>0.34399999999999997</v>
      </c>
      <c r="C54" s="4">
        <v>16.100000000000001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4">
        <v>0.45600000000000002</v>
      </c>
      <c r="W54" s="4">
        <v>20.3</v>
      </c>
      <c r="X54" s="4">
        <v>0.14799999999999999</v>
      </c>
      <c r="Y54" s="4">
        <v>0</v>
      </c>
      <c r="Z54" s="4">
        <v>0.317</v>
      </c>
      <c r="AA54" s="4">
        <v>23</v>
      </c>
      <c r="AB54" s="4">
        <v>0.29099999999999998</v>
      </c>
      <c r="AC54" s="4">
        <v>40</v>
      </c>
      <c r="AD54" s="4">
        <v>0.315</v>
      </c>
      <c r="AE54" s="4">
        <v>37.6</v>
      </c>
      <c r="AF54" s="4">
        <v>0.23799999999999999</v>
      </c>
      <c r="AG54" s="4">
        <v>12</v>
      </c>
      <c r="AH54" s="3"/>
      <c r="AI54" s="3"/>
      <c r="AJ54" s="4">
        <v>0.42099999999999999</v>
      </c>
      <c r="AK54" s="4">
        <v>36.200000000000003</v>
      </c>
      <c r="AL54" s="4">
        <v>0.54200000000000004</v>
      </c>
      <c r="AM54" s="4">
        <v>0.23200000000000001</v>
      </c>
      <c r="AN54" s="4">
        <v>0.28799999999999998</v>
      </c>
      <c r="AO54" s="4">
        <v>6.12</v>
      </c>
      <c r="AP54" s="4">
        <v>0.33600000000000002</v>
      </c>
      <c r="AQ54" s="4">
        <v>7.01</v>
      </c>
      <c r="AR54" s="4">
        <v>0.253</v>
      </c>
      <c r="AS54" s="4">
        <v>9.8699999999999992</v>
      </c>
      <c r="AT54" s="4">
        <v>0.49099999999999999</v>
      </c>
      <c r="AU54" s="4">
        <v>14.5</v>
      </c>
      <c r="AV54" s="4">
        <v>0.49</v>
      </c>
      <c r="AW54" s="4">
        <v>50.6</v>
      </c>
      <c r="AX54" s="4">
        <v>0.373</v>
      </c>
      <c r="AY54" s="4">
        <v>53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4">
        <v>0.39500000000000002</v>
      </c>
      <c r="BM54" s="4">
        <v>12.4</v>
      </c>
      <c r="BN54" s="4">
        <v>0.39900000000000002</v>
      </c>
      <c r="BO54" s="4">
        <v>6.14</v>
      </c>
      <c r="BP54" s="4">
        <v>0.36499999999999999</v>
      </c>
      <c r="BQ54" s="4">
        <v>14</v>
      </c>
      <c r="BR54" s="3"/>
      <c r="BS54" s="3"/>
      <c r="BT54" s="3"/>
      <c r="BU54" s="3"/>
      <c r="BV54" s="3"/>
      <c r="BW54" s="3"/>
      <c r="BX54" s="3"/>
      <c r="BY54" s="4">
        <v>0.38600000000000001</v>
      </c>
      <c r="BZ54" s="4">
        <v>1.8599999999999998E-2</v>
      </c>
      <c r="CA54" s="78">
        <v>4.8</v>
      </c>
    </row>
    <row r="55" spans="1:79">
      <c r="A55" s="93" t="s">
        <v>51</v>
      </c>
      <c r="B55" s="2">
        <v>26.8</v>
      </c>
      <c r="C55" s="2">
        <v>8.02</v>
      </c>
      <c r="D55" s="2">
        <v>14.5</v>
      </c>
      <c r="E55" s="2">
        <v>16</v>
      </c>
      <c r="F55" s="2">
        <v>12.2</v>
      </c>
      <c r="G55" s="2">
        <v>8.1999999999999993</v>
      </c>
      <c r="H55" s="2">
        <v>19.2</v>
      </c>
      <c r="I55" s="2">
        <v>20</v>
      </c>
      <c r="J55" s="5"/>
      <c r="K55" s="5"/>
      <c r="L55" s="2">
        <v>11.3</v>
      </c>
      <c r="M55" s="2">
        <v>34.299999999999997</v>
      </c>
      <c r="N55" s="2">
        <v>22.6</v>
      </c>
      <c r="O55" s="2">
        <v>5.52</v>
      </c>
      <c r="P55" s="2">
        <v>21.5</v>
      </c>
      <c r="Q55" s="2">
        <v>5.42</v>
      </c>
      <c r="R55" s="2">
        <v>31.5</v>
      </c>
      <c r="S55" s="2">
        <v>1.25</v>
      </c>
      <c r="T55" s="2">
        <v>22</v>
      </c>
      <c r="U55" s="2">
        <v>18.8</v>
      </c>
      <c r="V55" s="2">
        <v>21.7</v>
      </c>
      <c r="W55" s="2">
        <v>17.100000000000001</v>
      </c>
      <c r="X55" s="2">
        <v>24.8</v>
      </c>
      <c r="Y55" s="2">
        <v>19.8</v>
      </c>
      <c r="Z55" s="2">
        <v>21.7</v>
      </c>
      <c r="AA55" s="2">
        <v>5.69</v>
      </c>
      <c r="AB55" s="2">
        <v>24.3</v>
      </c>
      <c r="AC55" s="2">
        <v>6.88</v>
      </c>
      <c r="AD55" s="2">
        <v>24.4</v>
      </c>
      <c r="AE55" s="2">
        <v>6.18</v>
      </c>
      <c r="AF55" s="2">
        <v>22.2</v>
      </c>
      <c r="AG55" s="2">
        <v>23.1</v>
      </c>
      <c r="AH55" s="2">
        <v>20</v>
      </c>
      <c r="AI55" s="2">
        <v>4.59</v>
      </c>
      <c r="AJ55" s="2">
        <v>24.7</v>
      </c>
      <c r="AK55" s="2">
        <v>8.33</v>
      </c>
      <c r="AL55" s="2">
        <v>11.3</v>
      </c>
      <c r="AM55" s="2">
        <v>8.36</v>
      </c>
      <c r="AN55" s="2">
        <v>28.4</v>
      </c>
      <c r="AO55" s="2">
        <v>4.18</v>
      </c>
      <c r="AP55" s="2">
        <v>32.9</v>
      </c>
      <c r="AQ55" s="2">
        <v>3.46</v>
      </c>
      <c r="AR55" s="2">
        <v>37.799999999999997</v>
      </c>
      <c r="AS55" s="2">
        <v>3.92</v>
      </c>
      <c r="AT55" s="2">
        <v>27</v>
      </c>
      <c r="AU55" s="2">
        <v>3.56</v>
      </c>
      <c r="AV55" s="2">
        <v>29.9</v>
      </c>
      <c r="AW55" s="2">
        <v>4.42</v>
      </c>
      <c r="AX55" s="2">
        <v>29</v>
      </c>
      <c r="AY55" s="2">
        <v>8.7100000000000009</v>
      </c>
      <c r="AZ55" s="5"/>
      <c r="BA55" s="2">
        <v>24.1</v>
      </c>
      <c r="BB55" s="2">
        <v>5.46</v>
      </c>
      <c r="BC55" s="2">
        <v>14.2</v>
      </c>
      <c r="BD55" s="2">
        <v>9.77</v>
      </c>
      <c r="BE55" s="2">
        <v>7.39</v>
      </c>
      <c r="BF55" s="2">
        <v>24.9</v>
      </c>
      <c r="BG55" s="2">
        <v>3.47</v>
      </c>
      <c r="BH55" s="2">
        <v>14.9</v>
      </c>
      <c r="BI55" s="5"/>
      <c r="BJ55" s="5"/>
      <c r="BK55" s="5"/>
      <c r="BL55" s="2">
        <v>22.1</v>
      </c>
      <c r="BM55" s="2">
        <v>13.1</v>
      </c>
      <c r="BN55" s="2">
        <v>23.2</v>
      </c>
      <c r="BO55" s="2">
        <v>12.2</v>
      </c>
      <c r="BP55" s="2">
        <v>25.9</v>
      </c>
      <c r="BQ55" s="2">
        <v>13.6</v>
      </c>
      <c r="BR55" s="2">
        <v>25.7</v>
      </c>
      <c r="BS55" s="2">
        <v>2.0499999999999998</v>
      </c>
      <c r="BT55" s="2">
        <v>23.3</v>
      </c>
      <c r="BU55" s="2">
        <v>1.31</v>
      </c>
      <c r="BV55" s="2">
        <v>29.3</v>
      </c>
      <c r="BW55" s="2">
        <v>7.19</v>
      </c>
      <c r="BX55" s="5"/>
      <c r="BY55" s="2">
        <v>24.9</v>
      </c>
      <c r="BZ55" s="2">
        <v>2.63</v>
      </c>
      <c r="CA55" s="79">
        <v>10.5</v>
      </c>
    </row>
    <row r="56" spans="1:79">
      <c r="A56" s="93" t="s">
        <v>52</v>
      </c>
      <c r="B56" s="4">
        <v>6.7</v>
      </c>
      <c r="C56" s="4">
        <v>2.29</v>
      </c>
      <c r="D56" s="4">
        <v>8.74</v>
      </c>
      <c r="E56" s="4">
        <v>23</v>
      </c>
      <c r="F56" s="4">
        <v>6.47</v>
      </c>
      <c r="G56" s="4">
        <v>19.399999999999999</v>
      </c>
      <c r="H56" s="4">
        <v>13.3</v>
      </c>
      <c r="I56" s="4">
        <v>4.71</v>
      </c>
      <c r="J56" s="3"/>
      <c r="K56" s="3"/>
      <c r="L56" s="4">
        <v>8.09</v>
      </c>
      <c r="M56" s="4">
        <v>16.2</v>
      </c>
      <c r="N56" s="4">
        <v>11</v>
      </c>
      <c r="O56" s="4">
        <v>2.39</v>
      </c>
      <c r="P56" s="4">
        <v>9.1300000000000008</v>
      </c>
      <c r="Q56" s="4">
        <v>12.1</v>
      </c>
      <c r="R56" s="4">
        <v>13</v>
      </c>
      <c r="S56" s="4">
        <v>25.4</v>
      </c>
      <c r="T56" s="4">
        <v>17.2</v>
      </c>
      <c r="U56" s="4">
        <v>3.37</v>
      </c>
      <c r="V56" s="4">
        <v>5.88</v>
      </c>
      <c r="W56" s="4">
        <v>9.4600000000000009</v>
      </c>
      <c r="X56" s="4">
        <v>6.83</v>
      </c>
      <c r="Y56" s="4">
        <v>10.5</v>
      </c>
      <c r="Z56" s="4">
        <v>5.59</v>
      </c>
      <c r="AA56" s="4">
        <v>1.19</v>
      </c>
      <c r="AB56" s="4">
        <v>6.19</v>
      </c>
      <c r="AC56" s="4">
        <v>3.8</v>
      </c>
      <c r="AD56" s="4">
        <v>6.35</v>
      </c>
      <c r="AE56" s="4">
        <v>0.26400000000000001</v>
      </c>
      <c r="AF56" s="4">
        <v>6.68</v>
      </c>
      <c r="AG56" s="4">
        <v>14</v>
      </c>
      <c r="AH56" s="4">
        <v>7.09</v>
      </c>
      <c r="AI56" s="4">
        <v>3.77</v>
      </c>
      <c r="AJ56" s="4">
        <v>8.19</v>
      </c>
      <c r="AK56" s="4">
        <v>13.6</v>
      </c>
      <c r="AL56" s="4">
        <v>4.7300000000000004</v>
      </c>
      <c r="AM56" s="4">
        <v>27.4</v>
      </c>
      <c r="AN56" s="4">
        <v>8.02</v>
      </c>
      <c r="AO56" s="4">
        <v>11.6</v>
      </c>
      <c r="AP56" s="4">
        <v>9.2799999999999994</v>
      </c>
      <c r="AQ56" s="4">
        <v>6.41</v>
      </c>
      <c r="AR56" s="4">
        <v>10.7</v>
      </c>
      <c r="AS56" s="4">
        <v>3.32</v>
      </c>
      <c r="AT56" s="4">
        <v>7.7</v>
      </c>
      <c r="AU56" s="4">
        <v>19.899999999999999</v>
      </c>
      <c r="AV56" s="4">
        <v>10.199999999999999</v>
      </c>
      <c r="AW56" s="4">
        <v>11.6</v>
      </c>
      <c r="AX56" s="4">
        <v>9.7100000000000009</v>
      </c>
      <c r="AY56" s="4">
        <v>11.8</v>
      </c>
      <c r="AZ56" s="3"/>
      <c r="BA56" s="4">
        <v>7.63</v>
      </c>
      <c r="BB56" s="4">
        <v>8</v>
      </c>
      <c r="BC56" s="4">
        <v>4.87</v>
      </c>
      <c r="BD56" s="4">
        <v>11</v>
      </c>
      <c r="BE56" s="4">
        <v>3.47</v>
      </c>
      <c r="BF56" s="4">
        <v>19.899999999999999</v>
      </c>
      <c r="BG56" s="4">
        <v>3.11</v>
      </c>
      <c r="BH56" s="4">
        <v>13.1</v>
      </c>
      <c r="BI56" s="3"/>
      <c r="BJ56" s="3"/>
      <c r="BK56" s="3"/>
      <c r="BL56" s="4">
        <v>6.04</v>
      </c>
      <c r="BM56" s="4">
        <v>10.6</v>
      </c>
      <c r="BN56" s="4">
        <v>6.28</v>
      </c>
      <c r="BO56" s="4">
        <v>10.7</v>
      </c>
      <c r="BP56" s="4">
        <v>6.28</v>
      </c>
      <c r="BQ56" s="4">
        <v>6.85</v>
      </c>
      <c r="BR56" s="4">
        <v>6.99</v>
      </c>
      <c r="BS56" s="4">
        <v>7.62</v>
      </c>
      <c r="BT56" s="4">
        <v>10.3</v>
      </c>
      <c r="BU56" s="4">
        <v>4.1500000000000004</v>
      </c>
      <c r="BV56" s="4">
        <v>11.6</v>
      </c>
      <c r="BW56" s="4">
        <v>15.8</v>
      </c>
      <c r="BX56" s="3"/>
      <c r="BY56" s="4">
        <v>7.92</v>
      </c>
      <c r="BZ56" s="4">
        <v>2.42</v>
      </c>
      <c r="CA56" s="78">
        <v>30.6</v>
      </c>
    </row>
    <row r="57" spans="1:79">
      <c r="A57" s="93" t="s">
        <v>53</v>
      </c>
      <c r="B57" s="2">
        <v>0.379</v>
      </c>
      <c r="C57" s="2">
        <v>4.3600000000000003</v>
      </c>
      <c r="D57" s="2">
        <v>1.18</v>
      </c>
      <c r="E57" s="2">
        <v>17.7</v>
      </c>
      <c r="F57" s="2">
        <v>0.78100000000000003</v>
      </c>
      <c r="G57" s="5"/>
      <c r="H57" s="2">
        <v>0.38700000000000001</v>
      </c>
      <c r="I57" s="2">
        <v>18.3</v>
      </c>
      <c r="J57" s="5"/>
      <c r="K57" s="5"/>
      <c r="L57" s="2">
        <v>0.76</v>
      </c>
      <c r="M57" s="2">
        <v>23.1</v>
      </c>
      <c r="N57" s="2">
        <v>0.871</v>
      </c>
      <c r="O57" s="2">
        <v>20.3</v>
      </c>
      <c r="P57" s="2">
        <v>0.22</v>
      </c>
      <c r="Q57" s="5"/>
      <c r="R57" s="2">
        <v>0.32300000000000001</v>
      </c>
      <c r="S57" s="5"/>
      <c r="T57" s="2">
        <v>0.41899999999999998</v>
      </c>
      <c r="U57" s="5"/>
      <c r="V57" s="2">
        <v>0.33500000000000002</v>
      </c>
      <c r="W57" s="2">
        <v>3.06</v>
      </c>
      <c r="X57" s="2">
        <v>0.499</v>
      </c>
      <c r="Y57" s="2">
        <v>33.6</v>
      </c>
      <c r="Z57" s="2">
        <v>0.31</v>
      </c>
      <c r="AA57" s="2">
        <v>6.44</v>
      </c>
      <c r="AB57" s="2">
        <v>0.30199999999999999</v>
      </c>
      <c r="AC57" s="2">
        <v>6.84</v>
      </c>
      <c r="AD57" s="2">
        <v>0.254</v>
      </c>
      <c r="AE57" s="2">
        <v>8.3699999999999992</v>
      </c>
      <c r="AF57" s="2">
        <v>0.48599999999999999</v>
      </c>
      <c r="AG57" s="2">
        <v>14.5</v>
      </c>
      <c r="AH57" s="2">
        <v>0.30199999999999999</v>
      </c>
      <c r="AI57" s="5"/>
      <c r="AJ57" s="2">
        <v>0.39300000000000002</v>
      </c>
      <c r="AK57" s="2">
        <v>9.07</v>
      </c>
      <c r="AL57" s="2">
        <v>0.44400000000000001</v>
      </c>
      <c r="AM57" s="2">
        <v>5.6</v>
      </c>
      <c r="AN57" s="2">
        <v>0.55600000000000005</v>
      </c>
      <c r="AO57" s="2">
        <v>1.79</v>
      </c>
      <c r="AP57" s="2">
        <v>0.55800000000000005</v>
      </c>
      <c r="AQ57" s="2">
        <v>19.600000000000001</v>
      </c>
      <c r="AR57" s="2">
        <v>0.60699999999999998</v>
      </c>
      <c r="AS57" s="2">
        <v>18.2</v>
      </c>
      <c r="AT57" s="2">
        <v>0.43</v>
      </c>
      <c r="AU57" s="2">
        <v>21.3</v>
      </c>
      <c r="AV57" s="2">
        <v>0.54200000000000004</v>
      </c>
      <c r="AW57" s="2">
        <v>23.6</v>
      </c>
      <c r="AX57" s="2">
        <v>0.49199999999999999</v>
      </c>
      <c r="AY57" s="2">
        <v>8.0299999999999994</v>
      </c>
      <c r="AZ57" s="5"/>
      <c r="BA57" s="2">
        <v>0.313</v>
      </c>
      <c r="BB57" s="2">
        <v>19.399999999999999</v>
      </c>
      <c r="BC57" s="2">
        <v>0.33100000000000002</v>
      </c>
      <c r="BD57" s="2">
        <v>15.3</v>
      </c>
      <c r="BE57" s="2">
        <v>0.159</v>
      </c>
      <c r="BF57" s="2">
        <v>20.2</v>
      </c>
      <c r="BG57" s="2">
        <v>7.2900000000000006E-2</v>
      </c>
      <c r="BH57" s="2">
        <v>21.1</v>
      </c>
      <c r="BI57" s="5"/>
      <c r="BJ57" s="5"/>
      <c r="BK57" s="5"/>
      <c r="BL57" s="2">
        <v>0.42099999999999999</v>
      </c>
      <c r="BM57" s="2">
        <v>1.99</v>
      </c>
      <c r="BN57" s="2">
        <v>0.42</v>
      </c>
      <c r="BO57" s="2">
        <v>4.78</v>
      </c>
      <c r="BP57" s="2">
        <v>0.52900000000000003</v>
      </c>
      <c r="BQ57" s="2">
        <v>28.2</v>
      </c>
      <c r="BR57" s="2">
        <v>0.38600000000000001</v>
      </c>
      <c r="BS57" s="2">
        <v>29.3</v>
      </c>
      <c r="BT57" s="2">
        <v>0.65</v>
      </c>
      <c r="BU57" s="2">
        <v>13.8</v>
      </c>
      <c r="BV57" s="2">
        <v>0.439</v>
      </c>
      <c r="BW57" s="2">
        <v>0</v>
      </c>
      <c r="BX57" s="5"/>
      <c r="BY57" s="2">
        <v>0.47399999999999998</v>
      </c>
      <c r="BZ57" s="2">
        <v>9.8599999999999993E-2</v>
      </c>
      <c r="CA57" s="79">
        <v>20.8</v>
      </c>
    </row>
    <row r="58" spans="1:79">
      <c r="A58" s="93" t="s">
        <v>54</v>
      </c>
      <c r="B58" s="4">
        <v>0.433</v>
      </c>
      <c r="C58" s="4">
        <v>9.5299999999999994</v>
      </c>
      <c r="D58" s="4">
        <v>1.27</v>
      </c>
      <c r="E58" s="4">
        <v>4.28</v>
      </c>
      <c r="F58" s="4">
        <v>1.23</v>
      </c>
      <c r="G58" s="4">
        <v>0</v>
      </c>
      <c r="H58" s="4">
        <v>0.48699999999999999</v>
      </c>
      <c r="I58" s="4">
        <v>8.4499999999999993</v>
      </c>
      <c r="J58" s="3"/>
      <c r="K58" s="3"/>
      <c r="L58" s="4">
        <v>0.83299999999999996</v>
      </c>
      <c r="M58" s="4">
        <v>12.9</v>
      </c>
      <c r="N58" s="4">
        <v>1.18</v>
      </c>
      <c r="O58" s="4">
        <v>1.43</v>
      </c>
      <c r="P58" s="4">
        <v>0.36599999999999999</v>
      </c>
      <c r="Q58" s="3"/>
      <c r="R58" s="4">
        <v>0.38300000000000001</v>
      </c>
      <c r="S58" s="3"/>
      <c r="T58" s="4">
        <v>0.42599999999999999</v>
      </c>
      <c r="U58" s="3"/>
      <c r="V58" s="4">
        <v>0.50600000000000001</v>
      </c>
      <c r="W58" s="4">
        <v>45.6</v>
      </c>
      <c r="X58" s="4">
        <v>0.78200000000000003</v>
      </c>
      <c r="Y58" s="4">
        <v>30.6</v>
      </c>
      <c r="Z58" s="4">
        <v>0.376</v>
      </c>
      <c r="AA58" s="4">
        <v>30.2</v>
      </c>
      <c r="AB58" s="4">
        <v>0.372</v>
      </c>
      <c r="AC58" s="4">
        <v>27.2</v>
      </c>
      <c r="AD58" s="4">
        <v>0.36399999999999999</v>
      </c>
      <c r="AE58" s="4">
        <v>19.8</v>
      </c>
      <c r="AF58" s="4">
        <v>0.95899999999999996</v>
      </c>
      <c r="AG58" s="4">
        <v>61.5</v>
      </c>
      <c r="AH58" s="4">
        <v>0.45800000000000002</v>
      </c>
      <c r="AI58" s="3"/>
      <c r="AJ58" s="4">
        <v>0.78100000000000003</v>
      </c>
      <c r="AK58" s="4">
        <v>27.5</v>
      </c>
      <c r="AL58" s="4">
        <v>0.45400000000000001</v>
      </c>
      <c r="AM58" s="4">
        <v>59</v>
      </c>
      <c r="AN58" s="4">
        <v>0.504</v>
      </c>
      <c r="AO58" s="4">
        <v>22.5</v>
      </c>
      <c r="AP58" s="4">
        <v>0.74199999999999999</v>
      </c>
      <c r="AQ58" s="4">
        <v>32.4</v>
      </c>
      <c r="AR58" s="4">
        <v>0.82499999999999996</v>
      </c>
      <c r="AS58" s="4">
        <v>12.9</v>
      </c>
      <c r="AT58" s="4">
        <v>0.70299999999999996</v>
      </c>
      <c r="AU58" s="4">
        <v>7.74</v>
      </c>
      <c r="AV58" s="4">
        <v>0.76500000000000001</v>
      </c>
      <c r="AW58" s="4">
        <v>19.100000000000001</v>
      </c>
      <c r="AX58" s="4">
        <v>0.70399999999999996</v>
      </c>
      <c r="AY58" s="4">
        <v>12.9</v>
      </c>
      <c r="AZ58" s="3"/>
      <c r="BA58" s="4">
        <v>0.39500000000000002</v>
      </c>
      <c r="BB58" s="4">
        <v>30.2</v>
      </c>
      <c r="BC58" s="4">
        <v>0.20699999999999999</v>
      </c>
      <c r="BD58" s="4">
        <v>44.2</v>
      </c>
      <c r="BE58" s="4">
        <v>2.1000000000000001E-2</v>
      </c>
      <c r="BF58" s="4">
        <v>9.69</v>
      </c>
      <c r="BG58" s="3"/>
      <c r="BH58" s="3"/>
      <c r="BI58" s="3"/>
      <c r="BJ58" s="3"/>
      <c r="BK58" s="3"/>
      <c r="BL58" s="4">
        <v>0.68100000000000005</v>
      </c>
      <c r="BM58" s="4">
        <v>24.4</v>
      </c>
      <c r="BN58" s="4">
        <v>0.54300000000000004</v>
      </c>
      <c r="BO58" s="4">
        <v>28.1</v>
      </c>
      <c r="BP58" s="4">
        <v>0.91400000000000003</v>
      </c>
      <c r="BQ58" s="4">
        <v>8.99</v>
      </c>
      <c r="BR58" s="4">
        <v>0.41399999999999998</v>
      </c>
      <c r="BS58" s="4">
        <v>39.4</v>
      </c>
      <c r="BT58" s="4">
        <v>1.64</v>
      </c>
      <c r="BU58" s="4">
        <v>3.06</v>
      </c>
      <c r="BV58" s="4">
        <v>0.55800000000000005</v>
      </c>
      <c r="BW58" s="4">
        <v>0</v>
      </c>
      <c r="BX58" s="3"/>
      <c r="BY58" s="4">
        <v>0.79200000000000004</v>
      </c>
      <c r="BZ58" s="4">
        <v>0.44900000000000001</v>
      </c>
      <c r="CA58" s="78">
        <v>56.7</v>
      </c>
    </row>
    <row r="59" spans="1:79">
      <c r="A59" s="93" t="s">
        <v>55</v>
      </c>
      <c r="B59" s="2">
        <v>2.0899999999999998E-2</v>
      </c>
      <c r="C59" s="2">
        <v>24</v>
      </c>
      <c r="D59" s="2">
        <v>0.27</v>
      </c>
      <c r="E59" s="2">
        <v>12.2</v>
      </c>
      <c r="F59" s="2">
        <v>0.20699999999999999</v>
      </c>
      <c r="G59" s="2">
        <v>53.7</v>
      </c>
      <c r="H59" s="2">
        <v>6.1699999999999998E-2</v>
      </c>
      <c r="I59" s="2">
        <v>83.2</v>
      </c>
      <c r="J59" s="5"/>
      <c r="K59" s="5"/>
      <c r="L59" s="2">
        <v>0.25</v>
      </c>
      <c r="M59" s="2">
        <v>24.7</v>
      </c>
      <c r="N59" s="2">
        <v>0.161</v>
      </c>
      <c r="O59" s="2">
        <v>7.38</v>
      </c>
      <c r="P59" s="2">
        <v>7.1599999999999997E-2</v>
      </c>
      <c r="Q59" s="2">
        <v>3.13</v>
      </c>
      <c r="R59" s="2">
        <v>9.8000000000000004E-2</v>
      </c>
      <c r="S59" s="2">
        <v>25.2</v>
      </c>
      <c r="T59" s="2">
        <v>0.125</v>
      </c>
      <c r="U59" s="2">
        <v>13.9</v>
      </c>
      <c r="V59" s="2">
        <v>7.3499999999999996E-2</v>
      </c>
      <c r="W59" s="2">
        <v>32.1</v>
      </c>
      <c r="X59" s="2">
        <v>6.8000000000000005E-2</v>
      </c>
      <c r="Y59" s="2">
        <v>12.8</v>
      </c>
      <c r="Z59" s="2">
        <v>1.8700000000000001E-2</v>
      </c>
      <c r="AA59" s="2">
        <v>35.1</v>
      </c>
      <c r="AB59" s="2">
        <v>2.47E-2</v>
      </c>
      <c r="AC59" s="2">
        <v>3.72</v>
      </c>
      <c r="AD59" s="2">
        <v>2.8899999999999999E-2</v>
      </c>
      <c r="AE59" s="2">
        <v>11.4</v>
      </c>
      <c r="AF59" s="2">
        <v>5.6500000000000002E-2</v>
      </c>
      <c r="AG59" s="2">
        <v>26.1</v>
      </c>
      <c r="AH59" s="2">
        <v>8.8599999999999998E-2</v>
      </c>
      <c r="AI59" s="2">
        <v>26.6</v>
      </c>
      <c r="AJ59" s="2">
        <v>8.9800000000000005E-2</v>
      </c>
      <c r="AK59" s="2">
        <v>31.7</v>
      </c>
      <c r="AL59" s="5"/>
      <c r="AM59" s="5"/>
      <c r="AN59" s="2">
        <v>7.0000000000000007E-2</v>
      </c>
      <c r="AO59" s="2">
        <v>4.4400000000000004</v>
      </c>
      <c r="AP59" s="2">
        <v>7.1800000000000003E-2</v>
      </c>
      <c r="AQ59" s="2">
        <v>4.74</v>
      </c>
      <c r="AR59" s="2">
        <v>7.0499999999999993E-2</v>
      </c>
      <c r="AS59" s="2">
        <v>45.5</v>
      </c>
      <c r="AT59" s="2">
        <v>8.9300000000000004E-2</v>
      </c>
      <c r="AU59" s="2">
        <v>18</v>
      </c>
      <c r="AV59" s="2">
        <v>0.1</v>
      </c>
      <c r="AW59" s="2">
        <v>29</v>
      </c>
      <c r="AX59" s="2">
        <v>0.105</v>
      </c>
      <c r="AY59" s="2">
        <v>3.26</v>
      </c>
      <c r="AZ59" s="5"/>
      <c r="BA59" s="2">
        <v>8.8199999999999997E-3</v>
      </c>
      <c r="BB59" s="2">
        <v>12.3</v>
      </c>
      <c r="BC59" s="2">
        <v>1.66E-2</v>
      </c>
      <c r="BD59" s="2">
        <v>24.3</v>
      </c>
      <c r="BE59" s="2">
        <v>3.4799999999999998E-2</v>
      </c>
      <c r="BF59" s="2">
        <v>28.2</v>
      </c>
      <c r="BG59" s="2">
        <v>2.6100000000000002E-2</v>
      </c>
      <c r="BH59" s="2">
        <v>18.399999999999999</v>
      </c>
      <c r="BI59" s="5"/>
      <c r="BJ59" s="5"/>
      <c r="BK59" s="5"/>
      <c r="BL59" s="2">
        <v>5.5300000000000002E-2</v>
      </c>
      <c r="BM59" s="2">
        <v>9.19</v>
      </c>
      <c r="BN59" s="2">
        <v>2.4500000000000001E-2</v>
      </c>
      <c r="BO59" s="2">
        <v>19.3</v>
      </c>
      <c r="BP59" s="2">
        <v>6.9500000000000006E-2</v>
      </c>
      <c r="BQ59" s="2">
        <v>12.8</v>
      </c>
      <c r="BR59" s="2">
        <v>3.7699999999999997E-2</v>
      </c>
      <c r="BS59" s="2">
        <v>22.3</v>
      </c>
      <c r="BT59" s="2">
        <v>0.2</v>
      </c>
      <c r="BU59" s="2">
        <v>17.600000000000001</v>
      </c>
      <c r="BV59" s="2">
        <v>9.4899999999999998E-2</v>
      </c>
      <c r="BW59" s="2">
        <v>24.4</v>
      </c>
      <c r="BX59" s="5"/>
      <c r="BY59" s="2">
        <v>8.0199999999999994E-2</v>
      </c>
      <c r="BZ59" s="2">
        <v>6.3399999999999998E-2</v>
      </c>
      <c r="CA59" s="79">
        <v>79</v>
      </c>
    </row>
    <row r="60" spans="1:79">
      <c r="A60" s="93" t="s">
        <v>56</v>
      </c>
      <c r="B60" s="4">
        <v>0.28199999999999997</v>
      </c>
      <c r="C60" s="4">
        <v>5.44</v>
      </c>
      <c r="D60" s="4">
        <v>0.43</v>
      </c>
      <c r="E60" s="4">
        <v>24.6</v>
      </c>
      <c r="F60" s="4">
        <v>0.46800000000000003</v>
      </c>
      <c r="G60" s="4">
        <v>32.200000000000003</v>
      </c>
      <c r="H60" s="4">
        <v>0.34899999999999998</v>
      </c>
      <c r="I60" s="4">
        <v>50.5</v>
      </c>
      <c r="J60" s="3"/>
      <c r="K60" s="3"/>
      <c r="L60" s="4">
        <v>0.43</v>
      </c>
      <c r="M60" s="4">
        <v>15.9</v>
      </c>
      <c r="N60" s="4">
        <v>0.44600000000000001</v>
      </c>
      <c r="O60" s="4">
        <v>29.3</v>
      </c>
      <c r="P60" s="4">
        <v>0.16800000000000001</v>
      </c>
      <c r="Q60" s="4">
        <v>29.8</v>
      </c>
      <c r="R60" s="4">
        <v>0.41399999999999998</v>
      </c>
      <c r="S60" s="4">
        <v>15.2</v>
      </c>
      <c r="T60" s="4">
        <v>0.28499999999999998</v>
      </c>
      <c r="U60" s="4">
        <v>5.41</v>
      </c>
      <c r="V60" s="4">
        <v>0.26900000000000002</v>
      </c>
      <c r="W60" s="4">
        <v>23.9</v>
      </c>
      <c r="X60" s="4">
        <v>0.218</v>
      </c>
      <c r="Y60" s="4">
        <v>45.4</v>
      </c>
      <c r="Z60" s="4">
        <v>0.26</v>
      </c>
      <c r="AA60" s="4">
        <v>10.7</v>
      </c>
      <c r="AB60" s="4">
        <v>0.253</v>
      </c>
      <c r="AC60" s="4">
        <v>10.6</v>
      </c>
      <c r="AD60" s="4">
        <v>0.26500000000000001</v>
      </c>
      <c r="AE60" s="4">
        <v>16.8</v>
      </c>
      <c r="AF60" s="4">
        <v>0.23599999999999999</v>
      </c>
      <c r="AG60" s="4">
        <v>30</v>
      </c>
      <c r="AH60" s="4">
        <v>0.32900000000000001</v>
      </c>
      <c r="AI60" s="4">
        <v>35.6</v>
      </c>
      <c r="AJ60" s="4">
        <v>0.21199999999999999</v>
      </c>
      <c r="AK60" s="4">
        <v>3.91</v>
      </c>
      <c r="AL60" s="4">
        <v>0.2</v>
      </c>
      <c r="AM60" s="4">
        <v>33.9</v>
      </c>
      <c r="AN60" s="4">
        <v>0.14599999999999999</v>
      </c>
      <c r="AO60" s="4">
        <v>19.600000000000001</v>
      </c>
      <c r="AP60" s="4">
        <v>0.223</v>
      </c>
      <c r="AQ60" s="4">
        <v>37.6</v>
      </c>
      <c r="AR60" s="4">
        <v>0.28999999999999998</v>
      </c>
      <c r="AS60" s="4">
        <v>55.7</v>
      </c>
      <c r="AT60" s="4">
        <v>0.28699999999999998</v>
      </c>
      <c r="AU60" s="4">
        <v>19.2</v>
      </c>
      <c r="AV60" s="4">
        <v>0.37</v>
      </c>
      <c r="AW60" s="4">
        <v>15.9</v>
      </c>
      <c r="AX60" s="4">
        <v>0.27700000000000002</v>
      </c>
      <c r="AY60" s="4">
        <v>4.55</v>
      </c>
      <c r="AZ60" s="3"/>
      <c r="BA60" s="4">
        <v>0.115</v>
      </c>
      <c r="BB60" s="4">
        <v>16.600000000000001</v>
      </c>
      <c r="BC60" s="4">
        <v>0.121</v>
      </c>
      <c r="BD60" s="4">
        <v>14.9</v>
      </c>
      <c r="BE60" s="4">
        <v>7.0000000000000007E-2</v>
      </c>
      <c r="BF60" s="4">
        <v>27</v>
      </c>
      <c r="BG60" s="4">
        <v>0.114</v>
      </c>
      <c r="BH60" s="4">
        <v>26.5</v>
      </c>
      <c r="BI60" s="3"/>
      <c r="BJ60" s="3"/>
      <c r="BK60" s="3"/>
      <c r="BL60" s="4">
        <v>0.23699999999999999</v>
      </c>
      <c r="BM60" s="4">
        <v>12.8</v>
      </c>
      <c r="BN60" s="4">
        <v>0.24199999999999999</v>
      </c>
      <c r="BO60" s="4">
        <v>6.22</v>
      </c>
      <c r="BP60" s="4">
        <v>0.24199999999999999</v>
      </c>
      <c r="BQ60" s="4">
        <v>28.5</v>
      </c>
      <c r="BR60" s="4">
        <v>0.106</v>
      </c>
      <c r="BS60" s="4">
        <v>19.399999999999999</v>
      </c>
      <c r="BT60" s="4">
        <v>0.3</v>
      </c>
      <c r="BU60" s="4">
        <v>9.6999999999999993</v>
      </c>
      <c r="BV60" s="4">
        <v>0.23400000000000001</v>
      </c>
      <c r="BW60" s="4">
        <v>24.9</v>
      </c>
      <c r="BX60" s="3"/>
      <c r="BY60" s="4">
        <v>0.22700000000000001</v>
      </c>
      <c r="BZ60" s="4">
        <v>6.4299999999999996E-2</v>
      </c>
      <c r="CA60" s="78">
        <v>28.3</v>
      </c>
    </row>
    <row r="61" spans="1:79">
      <c r="A61" s="93" t="s">
        <v>762</v>
      </c>
      <c r="B61" s="2">
        <v>4.4499999999999998E-2</v>
      </c>
      <c r="C61" s="2">
        <v>23.3</v>
      </c>
      <c r="D61" s="2">
        <v>0.222</v>
      </c>
      <c r="E61" s="2">
        <v>40.1</v>
      </c>
      <c r="F61" s="2">
        <v>0.20899999999999999</v>
      </c>
      <c r="G61" s="2">
        <v>16.7</v>
      </c>
      <c r="H61" s="2">
        <v>0.183</v>
      </c>
      <c r="I61" s="2">
        <v>8.15</v>
      </c>
      <c r="J61" s="5"/>
      <c r="K61" s="5"/>
      <c r="L61" s="2">
        <v>0.13300000000000001</v>
      </c>
      <c r="M61" s="2">
        <v>39.299999999999997</v>
      </c>
      <c r="N61" s="2">
        <v>0.126</v>
      </c>
      <c r="O61" s="2">
        <v>26.3</v>
      </c>
      <c r="P61" s="2">
        <v>0.159</v>
      </c>
      <c r="Q61" s="2">
        <v>9.58</v>
      </c>
      <c r="R61" s="2">
        <v>0.20100000000000001</v>
      </c>
      <c r="S61" s="2">
        <v>31.8</v>
      </c>
      <c r="T61" s="2">
        <v>0.13300000000000001</v>
      </c>
      <c r="U61" s="2">
        <v>45.1</v>
      </c>
      <c r="V61" s="2">
        <v>8.9800000000000005E-2</v>
      </c>
      <c r="W61" s="2">
        <v>12.6</v>
      </c>
      <c r="X61" s="2">
        <v>0.115</v>
      </c>
      <c r="Y61" s="2">
        <v>2.67</v>
      </c>
      <c r="Z61" s="2">
        <v>4.8399999999999999E-2</v>
      </c>
      <c r="AA61" s="2">
        <v>35.700000000000003</v>
      </c>
      <c r="AB61" s="2">
        <v>5.21E-2</v>
      </c>
      <c r="AC61" s="2">
        <v>41.8</v>
      </c>
      <c r="AD61" s="2">
        <v>4.9200000000000001E-2</v>
      </c>
      <c r="AE61" s="2">
        <v>40</v>
      </c>
      <c r="AF61" s="2">
        <v>0.127</v>
      </c>
      <c r="AG61" s="2">
        <v>27.3</v>
      </c>
      <c r="AH61" s="2">
        <v>0.24399999999999999</v>
      </c>
      <c r="AI61" s="2">
        <v>40.4</v>
      </c>
      <c r="AJ61" s="5"/>
      <c r="AK61" s="5"/>
      <c r="AL61" s="2">
        <v>6.4899999999999999E-2</v>
      </c>
      <c r="AM61" s="2">
        <v>49.5</v>
      </c>
      <c r="AN61" s="2">
        <v>5.1499999999999997E-2</v>
      </c>
      <c r="AO61" s="2">
        <v>32.700000000000003</v>
      </c>
      <c r="AP61" s="2">
        <v>6.5699999999999995E-2</v>
      </c>
      <c r="AQ61" s="2">
        <v>13.9</v>
      </c>
      <c r="AR61" s="2">
        <v>5.3699999999999998E-2</v>
      </c>
      <c r="AS61" s="2">
        <v>10.5</v>
      </c>
      <c r="AT61" s="2">
        <v>6.83E-2</v>
      </c>
      <c r="AU61" s="2">
        <v>41</v>
      </c>
      <c r="AV61" s="2">
        <v>9.7199999999999995E-2</v>
      </c>
      <c r="AW61" s="2">
        <v>27.3</v>
      </c>
      <c r="AX61" s="2">
        <v>7.4700000000000003E-2</v>
      </c>
      <c r="AY61" s="2">
        <v>49.1</v>
      </c>
      <c r="AZ61" s="5"/>
      <c r="BA61" s="2">
        <v>3.2099999999999997E-2</v>
      </c>
      <c r="BB61" s="2">
        <v>47.6</v>
      </c>
      <c r="BC61" s="2">
        <v>2.52E-2</v>
      </c>
      <c r="BD61" s="2">
        <v>4.29</v>
      </c>
      <c r="BE61" s="2">
        <v>4.4299999999999999E-2</v>
      </c>
      <c r="BF61" s="2">
        <v>10.4</v>
      </c>
      <c r="BG61" s="2">
        <v>8.6800000000000002E-2</v>
      </c>
      <c r="BH61" s="2">
        <v>14.7</v>
      </c>
      <c r="BI61" s="5"/>
      <c r="BJ61" s="5"/>
      <c r="BK61" s="5"/>
      <c r="BL61" s="2">
        <v>4.4400000000000002E-2</v>
      </c>
      <c r="BM61" s="2">
        <v>35.799999999999997</v>
      </c>
      <c r="BN61" s="2">
        <v>5.57E-2</v>
      </c>
      <c r="BO61" s="2">
        <v>19</v>
      </c>
      <c r="BP61" s="2">
        <v>0.108</v>
      </c>
      <c r="BQ61" s="2">
        <v>67.900000000000006</v>
      </c>
      <c r="BR61" s="2">
        <v>2.5899999999999999E-2</v>
      </c>
      <c r="BS61" s="2">
        <v>20.8</v>
      </c>
      <c r="BT61" s="2">
        <v>0.127</v>
      </c>
      <c r="BU61" s="2">
        <v>14</v>
      </c>
      <c r="BV61" s="2">
        <v>0.16300000000000001</v>
      </c>
      <c r="BW61" s="2">
        <v>21</v>
      </c>
      <c r="BX61" s="5"/>
      <c r="BY61" s="2">
        <v>8.7400000000000005E-2</v>
      </c>
      <c r="BZ61" s="2">
        <v>5.3600000000000002E-2</v>
      </c>
      <c r="CA61" s="79">
        <v>61.4</v>
      </c>
    </row>
    <row r="62" spans="1:79">
      <c r="A62" s="93" t="s">
        <v>763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68"/>
    </row>
    <row r="63" spans="1:79">
      <c r="A63" s="93" t="s">
        <v>57</v>
      </c>
      <c r="B63" s="2">
        <v>6.9699999999999996E-3</v>
      </c>
      <c r="C63" s="2">
        <v>28.6</v>
      </c>
      <c r="D63" s="2">
        <v>5.0099999999999999E-2</v>
      </c>
      <c r="E63" s="2">
        <v>29.7</v>
      </c>
      <c r="F63" s="2">
        <v>3.9600000000000003E-2</v>
      </c>
      <c r="G63" s="2">
        <v>32.1</v>
      </c>
      <c r="H63" s="2">
        <v>7.4399999999999994E-2</v>
      </c>
      <c r="I63" s="2">
        <v>12.8</v>
      </c>
      <c r="J63" s="5"/>
      <c r="K63" s="5"/>
      <c r="L63" s="2">
        <v>2.5399999999999999E-2</v>
      </c>
      <c r="M63" s="2">
        <v>27.6</v>
      </c>
      <c r="N63" s="2">
        <v>5.57E-2</v>
      </c>
      <c r="O63" s="2">
        <v>52.3</v>
      </c>
      <c r="P63" s="2">
        <v>7.2300000000000003E-2</v>
      </c>
      <c r="Q63" s="2">
        <v>94.1</v>
      </c>
      <c r="R63" s="2">
        <v>2.2800000000000001E-2</v>
      </c>
      <c r="S63" s="2">
        <v>23.8</v>
      </c>
      <c r="T63" s="2">
        <v>3.1800000000000002E-2</v>
      </c>
      <c r="U63" s="2">
        <v>25.7</v>
      </c>
      <c r="V63" s="2">
        <v>2.2800000000000001E-2</v>
      </c>
      <c r="W63" s="2">
        <v>42.3</v>
      </c>
      <c r="X63" s="2">
        <v>1.14E-2</v>
      </c>
      <c r="Y63" s="2">
        <v>24.1</v>
      </c>
      <c r="Z63" s="2">
        <v>9.1699999999999993E-3</v>
      </c>
      <c r="AA63" s="2">
        <v>56</v>
      </c>
      <c r="AB63" s="2">
        <v>8.4700000000000001E-3</v>
      </c>
      <c r="AC63" s="2">
        <v>63.4</v>
      </c>
      <c r="AD63" s="2">
        <v>7.7499999999999999E-3</v>
      </c>
      <c r="AE63" s="2">
        <v>65.599999999999994</v>
      </c>
      <c r="AF63" s="2">
        <v>2.7900000000000001E-2</v>
      </c>
      <c r="AG63" s="2">
        <v>52</v>
      </c>
      <c r="AH63" s="2">
        <v>2.1299999999999999E-2</v>
      </c>
      <c r="AI63" s="2">
        <v>23.8</v>
      </c>
      <c r="AJ63" s="2">
        <v>1.9599999999999999E-2</v>
      </c>
      <c r="AK63" s="2">
        <v>68.5</v>
      </c>
      <c r="AL63" s="2">
        <v>5.0999999999999997E-2</v>
      </c>
      <c r="AM63" s="2">
        <v>15.6</v>
      </c>
      <c r="AN63" s="2">
        <v>2.5700000000000001E-2</v>
      </c>
      <c r="AO63" s="2">
        <v>38.4</v>
      </c>
      <c r="AP63" s="2">
        <v>3.27E-2</v>
      </c>
      <c r="AQ63" s="2">
        <v>23.5</v>
      </c>
      <c r="AR63" s="2">
        <v>2.35E-2</v>
      </c>
      <c r="AS63" s="2">
        <v>11.9</v>
      </c>
      <c r="AT63" s="2">
        <v>2.06E-2</v>
      </c>
      <c r="AU63" s="2">
        <v>51</v>
      </c>
      <c r="AV63" s="2">
        <v>0.03</v>
      </c>
      <c r="AW63" s="2">
        <v>51.5</v>
      </c>
      <c r="AX63" s="2">
        <v>1.2999999999999999E-2</v>
      </c>
      <c r="AY63" s="2">
        <v>35.5</v>
      </c>
      <c r="AZ63" s="5"/>
      <c r="BA63" s="2">
        <v>1.34E-2</v>
      </c>
      <c r="BB63" s="2">
        <v>28.5</v>
      </c>
      <c r="BC63" s="2">
        <v>5.6299999999999996E-3</v>
      </c>
      <c r="BD63" s="2">
        <v>43.8</v>
      </c>
      <c r="BE63" s="2">
        <v>1.6199999999999999E-2</v>
      </c>
      <c r="BF63" s="2">
        <v>31.5</v>
      </c>
      <c r="BG63" s="2">
        <v>3.7600000000000001E-2</v>
      </c>
      <c r="BH63" s="2">
        <v>28.3</v>
      </c>
      <c r="BI63" s="5"/>
      <c r="BJ63" s="5"/>
      <c r="BK63" s="5"/>
      <c r="BL63" s="2">
        <v>1.2800000000000001E-2</v>
      </c>
      <c r="BM63" s="2">
        <v>10.6</v>
      </c>
      <c r="BN63" s="2">
        <v>1.7000000000000001E-2</v>
      </c>
      <c r="BO63" s="2">
        <v>4.0599999999999996</v>
      </c>
      <c r="BP63" s="2">
        <v>1.37E-2</v>
      </c>
      <c r="BQ63" s="2">
        <v>0.45800000000000002</v>
      </c>
      <c r="BR63" s="2">
        <v>2.1999999999999999E-2</v>
      </c>
      <c r="BS63" s="2">
        <v>38.700000000000003</v>
      </c>
      <c r="BT63" s="2">
        <v>4.24E-2</v>
      </c>
      <c r="BU63" s="2">
        <v>56.6</v>
      </c>
      <c r="BV63" s="2">
        <v>3.2899999999999999E-2</v>
      </c>
      <c r="BW63" s="2">
        <v>24.7</v>
      </c>
      <c r="BX63" s="5"/>
      <c r="BY63" s="2">
        <v>2.35E-2</v>
      </c>
      <c r="BZ63" s="2">
        <v>1.18E-2</v>
      </c>
      <c r="CA63" s="79">
        <v>50.4</v>
      </c>
    </row>
    <row r="64" spans="1:79">
      <c r="A64" s="93" t="s">
        <v>58</v>
      </c>
      <c r="B64" s="4">
        <v>1.23</v>
      </c>
      <c r="C64" s="4">
        <v>18.3</v>
      </c>
      <c r="D64" s="4">
        <v>0.83799999999999997</v>
      </c>
      <c r="E64" s="4">
        <v>45.8</v>
      </c>
      <c r="F64" s="4">
        <v>1.2</v>
      </c>
      <c r="G64" s="4">
        <v>21.6</v>
      </c>
      <c r="H64" s="4">
        <v>0.58799999999999997</v>
      </c>
      <c r="I64" s="4">
        <v>22.8</v>
      </c>
      <c r="J64" s="3"/>
      <c r="K64" s="3"/>
      <c r="L64" s="4">
        <v>0.85799999999999998</v>
      </c>
      <c r="M64" s="4">
        <v>34.200000000000003</v>
      </c>
      <c r="N64" s="4">
        <v>0.84099999999999997</v>
      </c>
      <c r="O64" s="4">
        <v>2.23</v>
      </c>
      <c r="P64" s="4">
        <v>0.63100000000000001</v>
      </c>
      <c r="Q64" s="4">
        <v>37.6</v>
      </c>
      <c r="R64" s="4">
        <v>0.85899999999999999</v>
      </c>
      <c r="S64" s="4">
        <v>23.4</v>
      </c>
      <c r="T64" s="4">
        <v>0.79500000000000004</v>
      </c>
      <c r="U64" s="4">
        <v>10.1</v>
      </c>
      <c r="V64" s="4">
        <v>0.65200000000000002</v>
      </c>
      <c r="W64" s="4">
        <v>37.5</v>
      </c>
      <c r="X64" s="4">
        <v>0.69699999999999995</v>
      </c>
      <c r="Y64" s="4">
        <v>46.8</v>
      </c>
      <c r="Z64" s="4">
        <v>1.1499999999999999</v>
      </c>
      <c r="AA64" s="4">
        <v>26.5</v>
      </c>
      <c r="AB64" s="4">
        <v>1.1399999999999999</v>
      </c>
      <c r="AC64" s="4">
        <v>5.54</v>
      </c>
      <c r="AD64" s="4">
        <v>1.0900000000000001</v>
      </c>
      <c r="AE64" s="4">
        <v>9.77</v>
      </c>
      <c r="AF64" s="4">
        <v>0.71399999999999997</v>
      </c>
      <c r="AG64" s="4">
        <v>41.7</v>
      </c>
      <c r="AH64" s="4">
        <v>0.70499999999999996</v>
      </c>
      <c r="AI64" s="4">
        <v>12.1</v>
      </c>
      <c r="AJ64" s="4">
        <v>0.79</v>
      </c>
      <c r="AK64" s="4">
        <v>10.4</v>
      </c>
      <c r="AL64" s="4">
        <v>0.872</v>
      </c>
      <c r="AM64" s="4">
        <v>7.6</v>
      </c>
      <c r="AN64" s="4">
        <v>0.54100000000000004</v>
      </c>
      <c r="AO64" s="4">
        <v>22.2</v>
      </c>
      <c r="AP64" s="4">
        <v>0.77</v>
      </c>
      <c r="AQ64" s="4">
        <v>0.56499999999999995</v>
      </c>
      <c r="AR64" s="4">
        <v>1.06</v>
      </c>
      <c r="AS64" s="4">
        <v>5.39</v>
      </c>
      <c r="AT64" s="4">
        <v>0.51700000000000002</v>
      </c>
      <c r="AU64" s="4">
        <v>39.299999999999997</v>
      </c>
      <c r="AV64" s="4">
        <v>0.82099999999999995</v>
      </c>
      <c r="AW64" s="4">
        <v>22</v>
      </c>
      <c r="AX64" s="4">
        <v>0.873</v>
      </c>
      <c r="AY64" s="4">
        <v>17.2</v>
      </c>
      <c r="AZ64" s="3"/>
      <c r="BA64" s="4">
        <v>1.47</v>
      </c>
      <c r="BB64" s="4">
        <v>14.6</v>
      </c>
      <c r="BC64" s="4">
        <v>1.05</v>
      </c>
      <c r="BD64" s="4">
        <v>7.22</v>
      </c>
      <c r="BE64" s="4">
        <v>1.73</v>
      </c>
      <c r="BF64" s="4">
        <v>16.8</v>
      </c>
      <c r="BG64" s="4">
        <v>1.36</v>
      </c>
      <c r="BH64" s="4">
        <v>9.0399999999999991</v>
      </c>
      <c r="BI64" s="3"/>
      <c r="BJ64" s="3"/>
      <c r="BK64" s="3"/>
      <c r="BL64" s="4">
        <v>0.98799999999999999</v>
      </c>
      <c r="BM64" s="4">
        <v>57.7</v>
      </c>
      <c r="BN64" s="4">
        <v>0.86799999999999999</v>
      </c>
      <c r="BO64" s="4">
        <v>11.9</v>
      </c>
      <c r="BP64" s="4">
        <v>0.48899999999999999</v>
      </c>
      <c r="BQ64" s="4">
        <v>61.8</v>
      </c>
      <c r="BR64" s="4">
        <v>1.56</v>
      </c>
      <c r="BS64" s="4">
        <v>16.600000000000001</v>
      </c>
      <c r="BT64" s="4">
        <v>0.76300000000000001</v>
      </c>
      <c r="BU64" s="4">
        <v>38.4</v>
      </c>
      <c r="BV64" s="4">
        <v>0.86599999999999999</v>
      </c>
      <c r="BW64" s="4">
        <v>16.899999999999999</v>
      </c>
      <c r="BX64" s="3"/>
      <c r="BY64" s="4">
        <v>0.92200000000000004</v>
      </c>
      <c r="BZ64" s="4">
        <v>0.35399999999999998</v>
      </c>
      <c r="CA64" s="78">
        <v>38.4</v>
      </c>
    </row>
    <row r="65" spans="1:79">
      <c r="A65" s="93" t="s">
        <v>59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77"/>
    </row>
    <row r="66" spans="1:79">
      <c r="A66" s="93" t="s">
        <v>60</v>
      </c>
      <c r="B66" s="4">
        <v>0.23899999999999999</v>
      </c>
      <c r="C66" s="4">
        <v>32.299999999999997</v>
      </c>
      <c r="D66" s="4">
        <v>0.16800000000000001</v>
      </c>
      <c r="E66" s="4">
        <v>11</v>
      </c>
      <c r="F66" s="4">
        <v>0.27500000000000002</v>
      </c>
      <c r="G66" s="4">
        <v>29.5</v>
      </c>
      <c r="H66" s="4">
        <v>7.9699999999999993E-2</v>
      </c>
      <c r="I66" s="4">
        <v>11.8</v>
      </c>
      <c r="J66" s="3"/>
      <c r="K66" s="3"/>
      <c r="L66" s="4">
        <v>0.10199999999999999</v>
      </c>
      <c r="M66" s="4">
        <v>42.1</v>
      </c>
      <c r="N66" s="4">
        <v>0.129</v>
      </c>
      <c r="O66" s="4">
        <v>1.99</v>
      </c>
      <c r="P66" s="4">
        <v>0.155</v>
      </c>
      <c r="Q66" s="4">
        <v>14.4</v>
      </c>
      <c r="R66" s="4">
        <v>0.20799999999999999</v>
      </c>
      <c r="S66" s="4">
        <v>18</v>
      </c>
      <c r="T66" s="4">
        <v>0.22700000000000001</v>
      </c>
      <c r="U66" s="4">
        <v>11</v>
      </c>
      <c r="V66" s="4">
        <v>8.3500000000000005E-2</v>
      </c>
      <c r="W66" s="4">
        <v>16.399999999999999</v>
      </c>
      <c r="X66" s="4">
        <v>8.1299999999999997E-2</v>
      </c>
      <c r="Y66" s="4">
        <v>26.3</v>
      </c>
      <c r="Z66" s="4">
        <v>0.30399999999999999</v>
      </c>
      <c r="AA66" s="4">
        <v>33.6</v>
      </c>
      <c r="AB66" s="4">
        <v>0.247</v>
      </c>
      <c r="AC66" s="4">
        <v>33.200000000000003</v>
      </c>
      <c r="AD66" s="4">
        <v>0.23</v>
      </c>
      <c r="AE66" s="4">
        <v>23.7</v>
      </c>
      <c r="AF66" s="4">
        <v>0.106</v>
      </c>
      <c r="AG66" s="4">
        <v>1.84</v>
      </c>
      <c r="AH66" s="4">
        <v>0.13</v>
      </c>
      <c r="AI66" s="4">
        <v>14.4</v>
      </c>
      <c r="AJ66" s="4">
        <v>0.121</v>
      </c>
      <c r="AK66" s="4">
        <v>0.98199999999999998</v>
      </c>
      <c r="AL66" s="4">
        <v>0.52200000000000002</v>
      </c>
      <c r="AM66" s="4">
        <v>29.4</v>
      </c>
      <c r="AN66" s="4">
        <v>9.8000000000000004E-2</v>
      </c>
      <c r="AO66" s="4">
        <v>21</v>
      </c>
      <c r="AP66" s="4">
        <v>5.3900000000000003E-2</v>
      </c>
      <c r="AQ66" s="4">
        <v>31.9</v>
      </c>
      <c r="AR66" s="4">
        <v>4.3900000000000002E-2</v>
      </c>
      <c r="AS66" s="4">
        <v>9.1</v>
      </c>
      <c r="AT66" s="4">
        <v>7.1300000000000002E-2</v>
      </c>
      <c r="AU66" s="4">
        <v>8.7100000000000009</v>
      </c>
      <c r="AV66" s="4">
        <v>6.8500000000000005E-2</v>
      </c>
      <c r="AW66" s="4">
        <v>17.7</v>
      </c>
      <c r="AX66" s="4">
        <v>5.6899999999999999E-2</v>
      </c>
      <c r="AY66" s="4">
        <v>12.8</v>
      </c>
      <c r="AZ66" s="3"/>
      <c r="BA66" s="4">
        <v>0.111</v>
      </c>
      <c r="BB66" s="4">
        <v>42.7</v>
      </c>
      <c r="BC66" s="4">
        <v>0.121</v>
      </c>
      <c r="BD66" s="4">
        <v>47.4</v>
      </c>
      <c r="BE66" s="4">
        <v>0.161</v>
      </c>
      <c r="BF66" s="4">
        <v>19.3</v>
      </c>
      <c r="BG66" s="4">
        <v>0.59099999999999997</v>
      </c>
      <c r="BH66" s="4">
        <v>24.4</v>
      </c>
      <c r="BI66" s="3"/>
      <c r="BJ66" s="3"/>
      <c r="BK66" s="3"/>
      <c r="BL66" s="4">
        <v>8.7400000000000005E-2</v>
      </c>
      <c r="BM66" s="4">
        <v>41.9</v>
      </c>
      <c r="BN66" s="4">
        <v>0.184</v>
      </c>
      <c r="BO66" s="4">
        <v>41.2</v>
      </c>
      <c r="BP66" s="4">
        <v>6.6500000000000004E-2</v>
      </c>
      <c r="BQ66" s="4">
        <v>21.8</v>
      </c>
      <c r="BR66" s="4">
        <v>0.17799999999999999</v>
      </c>
      <c r="BS66" s="4">
        <v>27.8</v>
      </c>
      <c r="BT66" s="4">
        <v>9.8900000000000002E-2</v>
      </c>
      <c r="BU66" s="4">
        <v>34.799999999999997</v>
      </c>
      <c r="BV66" s="4">
        <v>0.215</v>
      </c>
      <c r="BW66" s="4">
        <v>10.7</v>
      </c>
      <c r="BX66" s="3"/>
      <c r="BY66" s="4">
        <v>0.13800000000000001</v>
      </c>
      <c r="BZ66" s="4">
        <v>6.1400000000000003E-2</v>
      </c>
      <c r="CA66" s="78">
        <v>44.4</v>
      </c>
    </row>
    <row r="67" spans="1:79">
      <c r="A67" s="93" t="s">
        <v>61</v>
      </c>
      <c r="B67" s="2">
        <v>4.07E-2</v>
      </c>
      <c r="C67" s="2">
        <v>6.82</v>
      </c>
      <c r="D67" s="2">
        <v>0.19900000000000001</v>
      </c>
      <c r="E67" s="2">
        <v>15.5</v>
      </c>
      <c r="F67" s="2">
        <v>0.26</v>
      </c>
      <c r="G67" s="2">
        <v>8.69</v>
      </c>
      <c r="H67" s="2">
        <v>0.14799999999999999</v>
      </c>
      <c r="I67" s="2">
        <v>12.4</v>
      </c>
      <c r="J67" s="5"/>
      <c r="K67" s="5"/>
      <c r="L67" s="2">
        <v>0.126</v>
      </c>
      <c r="M67" s="2">
        <v>27.5</v>
      </c>
      <c r="N67" s="2">
        <v>0.13600000000000001</v>
      </c>
      <c r="O67" s="2">
        <v>53.3</v>
      </c>
      <c r="P67" s="2">
        <v>0.157</v>
      </c>
      <c r="Q67" s="2">
        <v>3.42</v>
      </c>
      <c r="R67" s="2">
        <v>0.21299999999999999</v>
      </c>
      <c r="S67" s="2">
        <v>25.5</v>
      </c>
      <c r="T67" s="2">
        <v>0.23799999999999999</v>
      </c>
      <c r="U67" s="2">
        <v>40.9</v>
      </c>
      <c r="V67" s="2">
        <v>0.16800000000000001</v>
      </c>
      <c r="W67" s="2">
        <v>13.2</v>
      </c>
      <c r="X67" s="2">
        <v>0.182</v>
      </c>
      <c r="Y67" s="2">
        <v>56.8</v>
      </c>
      <c r="Z67" s="2">
        <v>3.0599999999999999E-2</v>
      </c>
      <c r="AA67" s="2">
        <v>10.199999999999999</v>
      </c>
      <c r="AB67" s="2">
        <v>2.47E-2</v>
      </c>
      <c r="AC67" s="2">
        <v>6.49</v>
      </c>
      <c r="AD67" s="2">
        <v>3.3399999999999999E-2</v>
      </c>
      <c r="AE67" s="2">
        <v>1.34</v>
      </c>
      <c r="AF67" s="2">
        <v>0.14699999999999999</v>
      </c>
      <c r="AG67" s="2">
        <v>21.7</v>
      </c>
      <c r="AH67" s="2">
        <v>0.17899999999999999</v>
      </c>
      <c r="AI67" s="2">
        <v>12.9</v>
      </c>
      <c r="AJ67" s="2">
        <v>9.1999999999999998E-2</v>
      </c>
      <c r="AK67" s="2">
        <v>28.9</v>
      </c>
      <c r="AL67" s="2">
        <v>0.124</v>
      </c>
      <c r="AM67" s="2">
        <v>14.6</v>
      </c>
      <c r="AN67" s="2">
        <v>7.1999999999999995E-2</v>
      </c>
      <c r="AO67" s="2">
        <v>15.2</v>
      </c>
      <c r="AP67" s="2">
        <v>9.1200000000000003E-2</v>
      </c>
      <c r="AQ67" s="2">
        <v>25.4</v>
      </c>
      <c r="AR67" s="2">
        <v>0.11700000000000001</v>
      </c>
      <c r="AS67" s="2">
        <v>1.22</v>
      </c>
      <c r="AT67" s="2">
        <v>9.7699999999999995E-2</v>
      </c>
      <c r="AU67" s="2">
        <v>2.19</v>
      </c>
      <c r="AV67" s="2">
        <v>0.1</v>
      </c>
      <c r="AW67" s="2">
        <v>9.98</v>
      </c>
      <c r="AX67" s="2">
        <v>0.11899999999999999</v>
      </c>
      <c r="AY67" s="2">
        <v>15.4</v>
      </c>
      <c r="AZ67" s="5"/>
      <c r="BA67" s="2">
        <v>4.5499999999999999E-2</v>
      </c>
      <c r="BB67" s="2">
        <v>19.7</v>
      </c>
      <c r="BC67" s="2">
        <v>1.6899999999999998E-2</v>
      </c>
      <c r="BD67" s="2">
        <v>49.8</v>
      </c>
      <c r="BE67" s="2">
        <v>2.4400000000000002E-2</v>
      </c>
      <c r="BF67" s="2">
        <v>31.3</v>
      </c>
      <c r="BG67" s="2">
        <v>4.7199999999999999E-2</v>
      </c>
      <c r="BH67" s="2">
        <v>56.8</v>
      </c>
      <c r="BI67" s="5"/>
      <c r="BJ67" s="5"/>
      <c r="BK67" s="5"/>
      <c r="BL67" s="2">
        <v>0.10100000000000001</v>
      </c>
      <c r="BM67" s="2">
        <v>32.6</v>
      </c>
      <c r="BN67" s="2">
        <v>5.5800000000000002E-2</v>
      </c>
      <c r="BO67" s="2">
        <v>31.3</v>
      </c>
      <c r="BP67" s="2">
        <v>0.13</v>
      </c>
      <c r="BQ67" s="2">
        <v>28.1</v>
      </c>
      <c r="BR67" s="2">
        <v>3.3099999999999997E-2</v>
      </c>
      <c r="BS67" s="2">
        <v>29</v>
      </c>
      <c r="BT67" s="2">
        <v>0.2</v>
      </c>
      <c r="BU67" s="2">
        <v>18.600000000000001</v>
      </c>
      <c r="BV67" s="2">
        <v>0.20200000000000001</v>
      </c>
      <c r="BW67" s="2">
        <v>17.899999999999999</v>
      </c>
      <c r="BX67" s="5"/>
      <c r="BY67" s="2">
        <v>0.12</v>
      </c>
      <c r="BZ67" s="2">
        <v>7.0900000000000005E-2</v>
      </c>
      <c r="CA67" s="79">
        <v>59</v>
      </c>
    </row>
    <row r="68" spans="1:79">
      <c r="A68" s="93" t="s">
        <v>62</v>
      </c>
      <c r="B68" s="4">
        <v>1.18</v>
      </c>
      <c r="C68" s="4">
        <v>7.02</v>
      </c>
      <c r="D68" s="4">
        <v>1.62</v>
      </c>
      <c r="E68" s="4">
        <v>23</v>
      </c>
      <c r="F68" s="4">
        <v>1.82</v>
      </c>
      <c r="G68" s="4">
        <v>19.7</v>
      </c>
      <c r="H68" s="4">
        <v>2.19</v>
      </c>
      <c r="I68" s="4">
        <v>8.7899999999999991</v>
      </c>
      <c r="J68" s="3"/>
      <c r="K68" s="3"/>
      <c r="L68" s="4">
        <v>2.17</v>
      </c>
      <c r="M68" s="4">
        <v>19.3</v>
      </c>
      <c r="N68" s="4">
        <v>1.52</v>
      </c>
      <c r="O68" s="4">
        <v>11.2</v>
      </c>
      <c r="P68" s="4">
        <v>0.67700000000000005</v>
      </c>
      <c r="Q68" s="4">
        <v>7.93</v>
      </c>
      <c r="R68" s="4">
        <v>0.97399999999999998</v>
      </c>
      <c r="S68" s="4">
        <v>16.600000000000001</v>
      </c>
      <c r="T68" s="4">
        <v>0.78200000000000003</v>
      </c>
      <c r="U68" s="4">
        <v>3.08</v>
      </c>
      <c r="V68" s="4">
        <v>0.27</v>
      </c>
      <c r="W68" s="4">
        <v>37.799999999999997</v>
      </c>
      <c r="X68" s="4">
        <v>0.25</v>
      </c>
      <c r="Y68" s="4">
        <v>40.1</v>
      </c>
      <c r="Z68" s="4">
        <v>1.23</v>
      </c>
      <c r="AA68" s="4">
        <v>9.91</v>
      </c>
      <c r="AB68" s="4">
        <v>1.2</v>
      </c>
      <c r="AC68" s="4">
        <v>11.9</v>
      </c>
      <c r="AD68" s="4">
        <v>1.18</v>
      </c>
      <c r="AE68" s="4">
        <v>17.899999999999999</v>
      </c>
      <c r="AF68" s="4">
        <v>0.26200000000000001</v>
      </c>
      <c r="AG68" s="4">
        <v>32.200000000000003</v>
      </c>
      <c r="AH68" s="4">
        <v>0.82099999999999995</v>
      </c>
      <c r="AI68" s="4">
        <v>1.68</v>
      </c>
      <c r="AJ68" s="4">
        <v>1.07</v>
      </c>
      <c r="AK68" s="4">
        <v>0.55500000000000005</v>
      </c>
      <c r="AL68" s="4">
        <v>1.64</v>
      </c>
      <c r="AM68" s="4">
        <v>21.9</v>
      </c>
      <c r="AN68" s="4">
        <v>1.46</v>
      </c>
      <c r="AO68" s="4">
        <v>41.9</v>
      </c>
      <c r="AP68" s="4">
        <v>1.1399999999999999</v>
      </c>
      <c r="AQ68" s="4">
        <v>61.2</v>
      </c>
      <c r="AR68" s="4">
        <v>1.46</v>
      </c>
      <c r="AS68" s="4">
        <v>48.9</v>
      </c>
      <c r="AT68" s="4">
        <v>1.17</v>
      </c>
      <c r="AU68" s="4">
        <v>10</v>
      </c>
      <c r="AV68" s="4">
        <v>1.1399999999999999</v>
      </c>
      <c r="AW68" s="4">
        <v>16.100000000000001</v>
      </c>
      <c r="AX68" s="4">
        <v>1.17</v>
      </c>
      <c r="AY68" s="4">
        <v>3.93</v>
      </c>
      <c r="AZ68" s="3"/>
      <c r="BA68" s="4">
        <v>0.57899999999999996</v>
      </c>
      <c r="BB68" s="4">
        <v>22.7</v>
      </c>
      <c r="BC68" s="4">
        <v>0.89400000000000002</v>
      </c>
      <c r="BD68" s="4">
        <v>8.6999999999999993</v>
      </c>
      <c r="BE68" s="4">
        <v>0.99099999999999999</v>
      </c>
      <c r="BF68" s="4">
        <v>11.8</v>
      </c>
      <c r="BG68" s="4">
        <v>1.0900000000000001</v>
      </c>
      <c r="BH68" s="4">
        <v>11.3</v>
      </c>
      <c r="BI68" s="3"/>
      <c r="BJ68" s="3"/>
      <c r="BK68" s="3"/>
      <c r="BL68" s="4">
        <v>1.24</v>
      </c>
      <c r="BM68" s="4">
        <v>50.6</v>
      </c>
      <c r="BN68" s="4">
        <v>0.88400000000000001</v>
      </c>
      <c r="BO68" s="4">
        <v>6.17</v>
      </c>
      <c r="BP68" s="4">
        <v>0.25800000000000001</v>
      </c>
      <c r="BQ68" s="4">
        <v>43.4</v>
      </c>
      <c r="BR68" s="4">
        <v>0.82799999999999996</v>
      </c>
      <c r="BS68" s="4">
        <v>15.9</v>
      </c>
      <c r="BT68" s="4">
        <v>1.65</v>
      </c>
      <c r="BU68" s="4">
        <v>12.7</v>
      </c>
      <c r="BV68" s="4">
        <v>0.93899999999999995</v>
      </c>
      <c r="BW68" s="4">
        <v>0</v>
      </c>
      <c r="BX68" s="3"/>
      <c r="BY68" s="4">
        <v>0.96699999999999997</v>
      </c>
      <c r="BZ68" s="4">
        <v>0.46300000000000002</v>
      </c>
      <c r="CA68" s="78">
        <v>47.9</v>
      </c>
    </row>
    <row r="69" spans="1:79">
      <c r="A69" s="93" t="s">
        <v>63</v>
      </c>
      <c r="B69" s="2">
        <v>0.13900000000000001</v>
      </c>
      <c r="C69" s="2">
        <v>9.3699999999999992</v>
      </c>
      <c r="D69" s="2">
        <v>3.1E-2</v>
      </c>
      <c r="E69" s="5"/>
      <c r="F69" s="2">
        <v>2.0899999999999998E-2</v>
      </c>
      <c r="G69" s="5"/>
      <c r="H69" s="2">
        <v>3.5299999999999998E-2</v>
      </c>
      <c r="I69" s="5"/>
      <c r="J69" s="5"/>
      <c r="K69" s="5"/>
      <c r="L69" s="2">
        <v>2.4299999999999999E-2</v>
      </c>
      <c r="M69" s="5"/>
      <c r="N69" s="2">
        <v>2.4899999999999999E-2</v>
      </c>
      <c r="O69" s="5"/>
      <c r="P69" s="2">
        <v>4.82E-2</v>
      </c>
      <c r="Q69" s="2">
        <v>49.2</v>
      </c>
      <c r="R69" s="2">
        <v>7.4099999999999999E-2</v>
      </c>
      <c r="S69" s="2">
        <v>49.3</v>
      </c>
      <c r="T69" s="2">
        <v>9.1899999999999996E-2</v>
      </c>
      <c r="U69" s="2">
        <v>42.9</v>
      </c>
      <c r="V69" s="2">
        <v>2.18E-2</v>
      </c>
      <c r="W69" s="2">
        <v>1.73</v>
      </c>
      <c r="X69" s="2">
        <v>0.04</v>
      </c>
      <c r="Y69" s="2">
        <v>16.899999999999999</v>
      </c>
      <c r="Z69" s="2">
        <v>0.152</v>
      </c>
      <c r="AA69" s="2">
        <v>8.4</v>
      </c>
      <c r="AB69" s="2">
        <v>0.152</v>
      </c>
      <c r="AC69" s="2">
        <v>9.83</v>
      </c>
      <c r="AD69" s="2">
        <v>0.13300000000000001</v>
      </c>
      <c r="AE69" s="2">
        <v>19.399999999999999</v>
      </c>
      <c r="AF69" s="2">
        <v>3.5299999999999998E-2</v>
      </c>
      <c r="AG69" s="2">
        <v>3.13</v>
      </c>
      <c r="AH69" s="2">
        <v>4.4600000000000001E-2</v>
      </c>
      <c r="AI69" s="2">
        <v>29.4</v>
      </c>
      <c r="AJ69" s="2">
        <v>3.3000000000000002E-2</v>
      </c>
      <c r="AK69" s="2">
        <v>32.5</v>
      </c>
      <c r="AL69" s="2">
        <v>5.5300000000000002E-2</v>
      </c>
      <c r="AM69" s="2">
        <v>22.3</v>
      </c>
      <c r="AN69" s="2">
        <v>3.7999999999999999E-2</v>
      </c>
      <c r="AO69" s="2">
        <v>17</v>
      </c>
      <c r="AP69" s="2">
        <v>4.8500000000000001E-2</v>
      </c>
      <c r="AQ69" s="2">
        <v>28.8</v>
      </c>
      <c r="AR69" s="2">
        <v>3.95E-2</v>
      </c>
      <c r="AS69" s="2">
        <v>4.34</v>
      </c>
      <c r="AT69" s="2">
        <v>2.76E-2</v>
      </c>
      <c r="AU69" s="2">
        <v>21.9</v>
      </c>
      <c r="AV69" s="2">
        <v>2.2499999999999999E-2</v>
      </c>
      <c r="AW69" s="2">
        <v>20.6</v>
      </c>
      <c r="AX69" s="2">
        <v>3.0300000000000001E-2</v>
      </c>
      <c r="AY69" s="2">
        <v>15.9</v>
      </c>
      <c r="AZ69" s="5"/>
      <c r="BA69" s="2">
        <v>1.52E-2</v>
      </c>
      <c r="BB69" s="2">
        <v>29.6</v>
      </c>
      <c r="BC69" s="2">
        <v>4.2700000000000002E-2</v>
      </c>
      <c r="BD69" s="2">
        <v>44.4</v>
      </c>
      <c r="BE69" s="2">
        <v>7.4700000000000003E-2</v>
      </c>
      <c r="BF69" s="2">
        <v>20.7</v>
      </c>
      <c r="BG69" s="2">
        <v>0.13900000000000001</v>
      </c>
      <c r="BH69" s="2">
        <v>14.2</v>
      </c>
      <c r="BI69" s="5"/>
      <c r="BJ69" s="5"/>
      <c r="BK69" s="5"/>
      <c r="BL69" s="2">
        <v>3.9100000000000003E-2</v>
      </c>
      <c r="BM69" s="2">
        <v>0.26800000000000002</v>
      </c>
      <c r="BN69" s="2">
        <v>0.13</v>
      </c>
      <c r="BO69" s="2">
        <v>12.6</v>
      </c>
      <c r="BP69" s="2">
        <v>2.5499999999999998E-2</v>
      </c>
      <c r="BQ69" s="2">
        <v>16</v>
      </c>
      <c r="BR69" s="2">
        <v>4.2099999999999999E-2</v>
      </c>
      <c r="BS69" s="2">
        <v>22.8</v>
      </c>
      <c r="BT69" s="2">
        <v>4.0500000000000001E-2</v>
      </c>
      <c r="BU69" s="2">
        <v>0</v>
      </c>
      <c r="BV69" s="2">
        <v>7.0900000000000005E-2</v>
      </c>
      <c r="BW69" s="2">
        <v>44.3</v>
      </c>
      <c r="BX69" s="5"/>
      <c r="BY69" s="2">
        <v>5.79E-2</v>
      </c>
      <c r="BZ69" s="2">
        <v>3.8100000000000002E-2</v>
      </c>
      <c r="CA69" s="79">
        <v>65.8</v>
      </c>
    </row>
    <row r="70" spans="1:79">
      <c r="A70" s="93" t="s">
        <v>64</v>
      </c>
      <c r="B70" s="4">
        <v>2.1800000000000002</v>
      </c>
      <c r="C70" s="4">
        <v>0.27</v>
      </c>
      <c r="D70" s="4">
        <v>4.22</v>
      </c>
      <c r="E70" s="4">
        <v>11.4</v>
      </c>
      <c r="F70" s="4">
        <v>4.5599999999999996</v>
      </c>
      <c r="G70" s="4">
        <v>20.5</v>
      </c>
      <c r="H70" s="4">
        <v>5.66</v>
      </c>
      <c r="I70" s="4">
        <v>19.2</v>
      </c>
      <c r="J70" s="3"/>
      <c r="K70" s="3"/>
      <c r="L70" s="4">
        <v>5.19</v>
      </c>
      <c r="M70" s="4">
        <v>9.08</v>
      </c>
      <c r="N70" s="4">
        <v>4.34</v>
      </c>
      <c r="O70" s="4">
        <v>12.8</v>
      </c>
      <c r="P70" s="4">
        <v>2.25</v>
      </c>
      <c r="Q70" s="4">
        <v>11.6</v>
      </c>
      <c r="R70" s="4">
        <v>2.57</v>
      </c>
      <c r="S70" s="4">
        <v>46.4</v>
      </c>
      <c r="T70" s="4">
        <v>1.53</v>
      </c>
      <c r="U70" s="4">
        <v>21.5</v>
      </c>
      <c r="V70" s="4">
        <v>3.9</v>
      </c>
      <c r="W70" s="4">
        <v>27.1</v>
      </c>
      <c r="X70" s="4">
        <v>4.41</v>
      </c>
      <c r="Y70" s="4">
        <v>13.7</v>
      </c>
      <c r="Z70" s="4">
        <v>2.52</v>
      </c>
      <c r="AA70" s="4">
        <v>1.99</v>
      </c>
      <c r="AB70" s="4">
        <v>2.1</v>
      </c>
      <c r="AC70" s="4">
        <v>1.36</v>
      </c>
      <c r="AD70" s="4">
        <v>1.9</v>
      </c>
      <c r="AE70" s="4">
        <v>5.87</v>
      </c>
      <c r="AF70" s="4">
        <v>3.77</v>
      </c>
      <c r="AG70" s="4">
        <v>10.9</v>
      </c>
      <c r="AH70" s="4">
        <v>2.35</v>
      </c>
      <c r="AI70" s="4">
        <v>14.5</v>
      </c>
      <c r="AJ70" s="4">
        <v>3.16</v>
      </c>
      <c r="AK70" s="4">
        <v>8.65</v>
      </c>
      <c r="AL70" s="4">
        <v>2.84</v>
      </c>
      <c r="AM70" s="4">
        <v>20.9</v>
      </c>
      <c r="AN70" s="4">
        <v>2.2999999999999998</v>
      </c>
      <c r="AO70" s="4">
        <v>0.27</v>
      </c>
      <c r="AP70" s="4">
        <v>2.52</v>
      </c>
      <c r="AQ70" s="4">
        <v>0.28799999999999998</v>
      </c>
      <c r="AR70" s="4">
        <v>2.65</v>
      </c>
      <c r="AS70" s="4">
        <v>33.700000000000003</v>
      </c>
      <c r="AT70" s="4">
        <v>3.45</v>
      </c>
      <c r="AU70" s="4">
        <v>23.1</v>
      </c>
      <c r="AV70" s="4">
        <v>3.45</v>
      </c>
      <c r="AW70" s="4">
        <v>10.6</v>
      </c>
      <c r="AX70" s="4">
        <v>3.84</v>
      </c>
      <c r="AY70" s="4">
        <v>1.94</v>
      </c>
      <c r="AZ70" s="3"/>
      <c r="BA70" s="4">
        <v>1.38</v>
      </c>
      <c r="BB70" s="4">
        <v>2.83</v>
      </c>
      <c r="BC70" s="4">
        <v>1.9</v>
      </c>
      <c r="BD70" s="4">
        <v>5.35</v>
      </c>
      <c r="BE70" s="4">
        <v>2.4300000000000002</v>
      </c>
      <c r="BF70" s="4">
        <v>3.75</v>
      </c>
      <c r="BG70" s="4">
        <v>3.18</v>
      </c>
      <c r="BH70" s="4">
        <v>4.5999999999999996</v>
      </c>
      <c r="BI70" s="3"/>
      <c r="BJ70" s="3"/>
      <c r="BK70" s="3"/>
      <c r="BL70" s="4">
        <v>2.27</v>
      </c>
      <c r="BM70" s="4">
        <v>19.600000000000001</v>
      </c>
      <c r="BN70" s="4">
        <v>2.36</v>
      </c>
      <c r="BO70" s="4">
        <v>47.3</v>
      </c>
      <c r="BP70" s="4">
        <v>3.64</v>
      </c>
      <c r="BQ70" s="4">
        <v>14</v>
      </c>
      <c r="BR70" s="4">
        <v>2.0099999999999998</v>
      </c>
      <c r="BS70" s="4">
        <v>7.24</v>
      </c>
      <c r="BT70" s="4">
        <v>4.59</v>
      </c>
      <c r="BU70" s="4">
        <v>5.03</v>
      </c>
      <c r="BV70" s="4">
        <v>3.1</v>
      </c>
      <c r="BW70" s="4">
        <v>14.3</v>
      </c>
      <c r="BX70" s="3"/>
      <c r="BY70" s="4">
        <v>3</v>
      </c>
      <c r="BZ70" s="4">
        <v>0.98799999999999999</v>
      </c>
      <c r="CA70" s="78">
        <v>33</v>
      </c>
    </row>
    <row r="71" spans="1:79" ht="17" thickBot="1">
      <c r="A71" s="94" t="s">
        <v>65</v>
      </c>
      <c r="B71" s="95">
        <v>0.52300000000000002</v>
      </c>
      <c r="C71" s="95">
        <v>25.5</v>
      </c>
      <c r="D71" s="95">
        <v>0.36399999999999999</v>
      </c>
      <c r="E71" s="95">
        <v>7.03</v>
      </c>
      <c r="F71" s="95">
        <v>0.28899999999999998</v>
      </c>
      <c r="G71" s="95">
        <v>6.03</v>
      </c>
      <c r="H71" s="95">
        <v>0.47299999999999998</v>
      </c>
      <c r="I71" s="95">
        <v>50.6</v>
      </c>
      <c r="J71" s="96"/>
      <c r="K71" s="96"/>
      <c r="L71" s="95">
        <v>0.36</v>
      </c>
      <c r="M71" s="95">
        <v>1.43</v>
      </c>
      <c r="N71" s="95">
        <v>0.33100000000000002</v>
      </c>
      <c r="O71" s="95">
        <v>41.2</v>
      </c>
      <c r="P71" s="95">
        <v>0.52600000000000002</v>
      </c>
      <c r="Q71" s="95">
        <v>28.8</v>
      </c>
      <c r="R71" s="95">
        <v>0.94899999999999995</v>
      </c>
      <c r="S71" s="95">
        <v>14.3</v>
      </c>
      <c r="T71" s="95">
        <v>0.64400000000000002</v>
      </c>
      <c r="U71" s="95">
        <v>29.3</v>
      </c>
      <c r="V71" s="95">
        <v>0.52300000000000002</v>
      </c>
      <c r="W71" s="95">
        <v>15.6</v>
      </c>
      <c r="X71" s="95">
        <v>0.497</v>
      </c>
      <c r="Y71" s="95">
        <v>25.5</v>
      </c>
      <c r="Z71" s="95">
        <v>0.59599999999999997</v>
      </c>
      <c r="AA71" s="95">
        <v>25.4</v>
      </c>
      <c r="AB71" s="95">
        <v>0.56200000000000006</v>
      </c>
      <c r="AC71" s="95">
        <v>22</v>
      </c>
      <c r="AD71" s="95">
        <v>0.54600000000000004</v>
      </c>
      <c r="AE71" s="95">
        <v>33.1</v>
      </c>
      <c r="AF71" s="95">
        <v>0.56699999999999995</v>
      </c>
      <c r="AG71" s="95">
        <v>11.4</v>
      </c>
      <c r="AH71" s="95">
        <v>0.45500000000000002</v>
      </c>
      <c r="AI71" s="95">
        <v>40.299999999999997</v>
      </c>
      <c r="AJ71" s="95">
        <v>0.627</v>
      </c>
      <c r="AK71" s="95">
        <v>31.1</v>
      </c>
      <c r="AL71" s="95">
        <v>1.2</v>
      </c>
      <c r="AM71" s="95">
        <v>7.82</v>
      </c>
      <c r="AN71" s="95">
        <v>0.63200000000000001</v>
      </c>
      <c r="AO71" s="95">
        <v>19.600000000000001</v>
      </c>
      <c r="AP71" s="95">
        <v>0.77800000000000002</v>
      </c>
      <c r="AQ71" s="95">
        <v>3.88</v>
      </c>
      <c r="AR71" s="95">
        <v>0.67100000000000004</v>
      </c>
      <c r="AS71" s="95">
        <v>14.2</v>
      </c>
      <c r="AT71" s="95">
        <v>0.79500000000000004</v>
      </c>
      <c r="AU71" s="95">
        <v>4.72</v>
      </c>
      <c r="AV71" s="95">
        <v>0.68799999999999994</v>
      </c>
      <c r="AW71" s="95">
        <v>34.9</v>
      </c>
      <c r="AX71" s="95">
        <v>0.77100000000000002</v>
      </c>
      <c r="AY71" s="95">
        <v>14.1</v>
      </c>
      <c r="AZ71" s="96"/>
      <c r="BA71" s="95">
        <v>0.216</v>
      </c>
      <c r="BB71" s="95">
        <v>43.8</v>
      </c>
      <c r="BC71" s="95">
        <v>0.30499999999999999</v>
      </c>
      <c r="BD71" s="95">
        <v>20.9</v>
      </c>
      <c r="BE71" s="95">
        <v>0.28899999999999998</v>
      </c>
      <c r="BF71" s="95">
        <v>4.8499999999999996</v>
      </c>
      <c r="BG71" s="95">
        <v>0.51200000000000001</v>
      </c>
      <c r="BH71" s="95">
        <v>50.3</v>
      </c>
      <c r="BI71" s="96"/>
      <c r="BJ71" s="96"/>
      <c r="BK71" s="96"/>
      <c r="BL71" s="95">
        <v>0.55100000000000005</v>
      </c>
      <c r="BM71" s="95">
        <v>5.09</v>
      </c>
      <c r="BN71" s="95">
        <v>0.69699999999999995</v>
      </c>
      <c r="BO71" s="95">
        <v>19.600000000000001</v>
      </c>
      <c r="BP71" s="95">
        <v>0.499</v>
      </c>
      <c r="BQ71" s="95">
        <v>28.3</v>
      </c>
      <c r="BR71" s="95">
        <v>0.23699999999999999</v>
      </c>
      <c r="BS71" s="95">
        <v>83.2</v>
      </c>
      <c r="BT71" s="95">
        <v>0.307</v>
      </c>
      <c r="BU71" s="95">
        <v>16.399999999999999</v>
      </c>
      <c r="BV71" s="95">
        <v>0.73099999999999998</v>
      </c>
      <c r="BW71" s="95">
        <v>55.5</v>
      </c>
      <c r="BX71" s="96"/>
      <c r="BY71" s="95">
        <v>0.504</v>
      </c>
      <c r="BZ71" s="95">
        <v>0.20100000000000001</v>
      </c>
      <c r="CA71" s="97">
        <v>39.799999999999997</v>
      </c>
    </row>
    <row r="72" spans="1:79">
      <c r="A72" s="98"/>
    </row>
    <row r="73" spans="1:79">
      <c r="A73" s="98"/>
    </row>
    <row r="77" spans="1:79">
      <c r="A77" s="98"/>
    </row>
    <row r="78" spans="1:79">
      <c r="A78" s="98"/>
    </row>
    <row r="79" spans="1:79">
      <c r="A79" s="98"/>
    </row>
    <row r="80" spans="1:79">
      <c r="A80" s="98"/>
    </row>
    <row r="81" spans="1:1">
      <c r="A81" s="98"/>
    </row>
    <row r="82" spans="1:1">
      <c r="A82" s="98"/>
    </row>
    <row r="88" spans="1:1">
      <c r="A88" s="98"/>
    </row>
    <row r="89" spans="1:1">
      <c r="A89" s="98"/>
    </row>
    <row r="90" spans="1:1">
      <c r="A90" s="98"/>
    </row>
    <row r="91" spans="1:1">
      <c r="A91" s="98"/>
    </row>
    <row r="92" spans="1:1">
      <c r="A92" s="98"/>
    </row>
    <row r="93" spans="1:1">
      <c r="A93" s="98"/>
    </row>
    <row r="94" spans="1:1">
      <c r="A94" s="98"/>
    </row>
    <row r="95" spans="1:1">
      <c r="A95" s="98"/>
    </row>
    <row r="96" spans="1:1">
      <c r="A96" s="98"/>
    </row>
    <row r="97" spans="1:1">
      <c r="A97" s="98"/>
    </row>
    <row r="98" spans="1:1">
      <c r="A98" s="98"/>
    </row>
    <row r="99" spans="1:1">
      <c r="A99" s="98"/>
    </row>
    <row r="100" spans="1:1">
      <c r="A100" s="98"/>
    </row>
    <row r="101" spans="1:1">
      <c r="A101" s="98"/>
    </row>
    <row r="102" spans="1:1">
      <c r="A102" s="98"/>
    </row>
    <row r="103" spans="1:1">
      <c r="A103" s="98"/>
    </row>
    <row r="104" spans="1:1">
      <c r="A104" s="98"/>
    </row>
    <row r="105" spans="1:1">
      <c r="A105" s="98"/>
    </row>
    <row r="106" spans="1:1">
      <c r="A106" s="98"/>
    </row>
    <row r="107" spans="1:1">
      <c r="A107" s="98"/>
    </row>
    <row r="108" spans="1:1">
      <c r="A108" s="98"/>
    </row>
    <row r="109" spans="1:1">
      <c r="A109" s="98"/>
    </row>
    <row r="110" spans="1:1">
      <c r="A110" s="98"/>
    </row>
    <row r="111" spans="1:1">
      <c r="A111" s="98"/>
    </row>
    <row r="112" spans="1:1">
      <c r="A112" s="98"/>
    </row>
    <row r="114" spans="1:1">
      <c r="A114" s="98"/>
    </row>
    <row r="115" spans="1:1">
      <c r="A115" s="98"/>
    </row>
    <row r="116" spans="1:1">
      <c r="A116" s="98"/>
    </row>
    <row r="117" spans="1:1">
      <c r="A117" s="98"/>
    </row>
    <row r="121" spans="1:1">
      <c r="A121" s="98"/>
    </row>
    <row r="122" spans="1:1">
      <c r="A122" s="98"/>
    </row>
    <row r="123" spans="1:1">
      <c r="A123" s="98"/>
    </row>
    <row r="124" spans="1:1">
      <c r="A124" s="98"/>
    </row>
    <row r="125" spans="1:1">
      <c r="A125" s="98"/>
    </row>
    <row r="126" spans="1:1">
      <c r="A126" s="98"/>
    </row>
    <row r="128" spans="1:1">
      <c r="A128" s="98"/>
    </row>
    <row r="131" spans="1:1">
      <c r="A131" s="98"/>
    </row>
    <row r="132" spans="1:1">
      <c r="A132" s="98"/>
    </row>
    <row r="135" spans="1:1">
      <c r="A135" s="98"/>
    </row>
    <row r="136" spans="1:1">
      <c r="A136" s="98"/>
    </row>
    <row r="138" spans="1:1">
      <c r="A138" s="98"/>
    </row>
    <row r="139" spans="1:1">
      <c r="A139" s="98"/>
    </row>
    <row r="142" spans="1:1">
      <c r="A142" s="98"/>
    </row>
    <row r="143" spans="1:1">
      <c r="A143" s="98"/>
    </row>
    <row r="221" spans="1:1">
      <c r="A221" s="98"/>
    </row>
    <row r="223" spans="1:1">
      <c r="A223" s="98"/>
    </row>
    <row r="225" spans="1:1">
      <c r="A225" s="98"/>
    </row>
    <row r="226" spans="1:1">
      <c r="A226" s="98"/>
    </row>
    <row r="229" spans="1:1">
      <c r="A229" s="98"/>
    </row>
    <row r="230" spans="1:1">
      <c r="A230" s="98"/>
    </row>
    <row r="233" spans="1:1">
      <c r="A233" s="98"/>
    </row>
    <row r="234" spans="1:1">
      <c r="A234" s="98"/>
    </row>
    <row r="237" spans="1:1">
      <c r="A237" s="98"/>
    </row>
    <row r="238" spans="1:1">
      <c r="A238" s="98"/>
    </row>
    <row r="302" spans="1:1">
      <c r="A302" s="98"/>
    </row>
    <row r="311" spans="1:1">
      <c r="A311" s="99"/>
    </row>
    <row r="313" spans="1:1">
      <c r="A313" s="98"/>
    </row>
    <row r="315" spans="1:1">
      <c r="A315" s="98"/>
    </row>
    <row r="317" spans="1:1">
      <c r="A317" s="98"/>
    </row>
    <row r="318" spans="1:1">
      <c r="A318" s="98"/>
    </row>
    <row r="321" spans="1:1">
      <c r="A321" s="98"/>
    </row>
    <row r="322" spans="1:1">
      <c r="A322" s="98"/>
    </row>
    <row r="324" spans="1:1">
      <c r="A324" s="98"/>
    </row>
    <row r="326" spans="1:1">
      <c r="A326" s="98"/>
    </row>
    <row r="327" spans="1:1">
      <c r="A327" s="98"/>
    </row>
    <row r="330" spans="1:1">
      <c r="A330" s="98"/>
    </row>
    <row r="331" spans="1:1">
      <c r="A331" s="98"/>
    </row>
    <row r="333" spans="1:1">
      <c r="A333" s="98"/>
    </row>
    <row r="334" spans="1:1">
      <c r="A334" s="98"/>
    </row>
    <row r="337" spans="1:1">
      <c r="A337" s="98"/>
    </row>
    <row r="338" spans="1:1">
      <c r="A338" s="98"/>
    </row>
    <row r="340" spans="1:1">
      <c r="A340" s="98"/>
    </row>
    <row r="341" spans="1:1">
      <c r="A341" s="98"/>
    </row>
    <row r="344" spans="1:1">
      <c r="A344" s="98"/>
    </row>
    <row r="345" spans="1:1">
      <c r="A345" s="98"/>
    </row>
    <row r="347" spans="1:1">
      <c r="A347" s="98"/>
    </row>
    <row r="348" spans="1:1">
      <c r="A348" s="98"/>
    </row>
    <row r="351" spans="1:1">
      <c r="A351" s="98"/>
    </row>
    <row r="352" spans="1:1">
      <c r="A352" s="98"/>
    </row>
    <row r="354" spans="1:1">
      <c r="A354" s="98"/>
    </row>
    <row r="355" spans="1:1">
      <c r="A355" s="98"/>
    </row>
    <row r="358" spans="1:1">
      <c r="A358" s="98"/>
    </row>
    <row r="359" spans="1:1">
      <c r="A359" s="98"/>
    </row>
    <row r="360" spans="1:1">
      <c r="A360" s="99"/>
    </row>
    <row r="361" spans="1:1">
      <c r="A361" s="99"/>
    </row>
    <row r="364" spans="1:1">
      <c r="A364" s="99"/>
    </row>
    <row r="365" spans="1:1">
      <c r="A365" s="99"/>
    </row>
    <row r="366" spans="1:1">
      <c r="A366" s="98"/>
    </row>
    <row r="367" spans="1:1">
      <c r="A367" s="98"/>
    </row>
    <row r="370" spans="1:1">
      <c r="A370" s="98"/>
    </row>
    <row r="371" spans="1:1">
      <c r="A371" s="98"/>
    </row>
    <row r="449" spans="1:1">
      <c r="A449" s="98"/>
    </row>
    <row r="451" spans="1:1">
      <c r="A451" s="98"/>
    </row>
    <row r="452" spans="1:1">
      <c r="A452" s="98"/>
    </row>
    <row r="455" spans="1:1">
      <c r="A455" s="98"/>
    </row>
    <row r="456" spans="1:1">
      <c r="A456" s="98"/>
    </row>
    <row r="458" spans="1:1">
      <c r="A458" s="98"/>
    </row>
    <row r="459" spans="1:1">
      <c r="A459" s="99"/>
    </row>
    <row r="460" spans="1:1">
      <c r="A460" s="99"/>
    </row>
    <row r="461" spans="1:1">
      <c r="A461" s="98"/>
    </row>
    <row r="463" spans="1:1">
      <c r="A463" s="98"/>
    </row>
    <row r="464" spans="1:1">
      <c r="A464" s="98"/>
    </row>
    <row r="465" spans="1:1">
      <c r="A465" s="98"/>
    </row>
    <row r="468" spans="1:1">
      <c r="A468" s="98"/>
    </row>
    <row r="469" spans="1:1">
      <c r="A469" s="98"/>
    </row>
    <row r="470" spans="1:1">
      <c r="A470" s="99"/>
    </row>
    <row r="471" spans="1:1">
      <c r="A471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80" spans="1:1">
      <c r="A480" s="98"/>
    </row>
    <row r="481" spans="1:1">
      <c r="A481" s="98"/>
    </row>
    <row r="482" spans="1:1">
      <c r="A482" s="98"/>
    </row>
    <row r="485" spans="1:1">
      <c r="A485" s="98"/>
    </row>
    <row r="486" spans="1:1">
      <c r="A486" s="98"/>
    </row>
    <row r="488" spans="1:1">
      <c r="A488" s="98"/>
    </row>
    <row r="489" spans="1:1">
      <c r="A489" s="98"/>
    </row>
    <row r="492" spans="1:1">
      <c r="A492" s="98"/>
    </row>
    <row r="493" spans="1:1">
      <c r="A493" s="98"/>
    </row>
    <row r="495" spans="1:1">
      <c r="A495" s="98"/>
    </row>
    <row r="497" spans="1:1">
      <c r="A497" s="98"/>
    </row>
    <row r="498" spans="1:1">
      <c r="A498" s="98"/>
    </row>
    <row r="501" spans="1:1">
      <c r="A501" s="98"/>
    </row>
    <row r="502" spans="1:1">
      <c r="A502" s="98"/>
    </row>
    <row r="504" spans="1:1">
      <c r="A504" s="98"/>
    </row>
    <row r="505" spans="1:1">
      <c r="A505" s="98"/>
    </row>
    <row r="508" spans="1:1">
      <c r="A508" s="98"/>
    </row>
    <row r="509" spans="1:1">
      <c r="A509" s="98"/>
    </row>
    <row r="511" spans="1:1">
      <c r="A511" s="98"/>
    </row>
    <row r="513" spans="1:1">
      <c r="A513" s="98"/>
    </row>
    <row r="514" spans="1:1">
      <c r="A514" s="98"/>
    </row>
    <row r="516" spans="1:1">
      <c r="A516" s="98"/>
    </row>
    <row r="519" spans="1:1">
      <c r="A519" s="98"/>
    </row>
    <row r="520" spans="1:1">
      <c r="A520" s="98"/>
    </row>
    <row r="522" spans="1:1">
      <c r="A522" s="98"/>
    </row>
    <row r="523" spans="1:1">
      <c r="A523" s="98"/>
    </row>
    <row r="526" spans="1:1">
      <c r="A526" s="98"/>
    </row>
    <row r="527" spans="1:1">
      <c r="A527" s="98"/>
    </row>
    <row r="528" spans="1:1">
      <c r="A528" s="99"/>
    </row>
    <row r="529" spans="1:1">
      <c r="A529" s="99"/>
    </row>
    <row r="532" spans="1:1">
      <c r="A532" s="99"/>
    </row>
    <row r="533" spans="1:1">
      <c r="A533" s="99"/>
    </row>
    <row r="534" spans="1:1">
      <c r="A534" s="98"/>
    </row>
    <row r="536" spans="1:1">
      <c r="A536" s="98"/>
    </row>
    <row r="538" spans="1:1">
      <c r="A538" s="98"/>
    </row>
    <row r="539" spans="1:1">
      <c r="A539" s="98"/>
    </row>
    <row r="542" spans="1:1">
      <c r="A542" s="98"/>
    </row>
    <row r="543" spans="1:1">
      <c r="A543" s="98"/>
    </row>
    <row r="581" spans="1:1">
      <c r="A581" s="98"/>
    </row>
    <row r="619" spans="1:1">
      <c r="A619" s="98"/>
    </row>
    <row r="621" spans="1:1">
      <c r="A621" s="98"/>
    </row>
    <row r="623" spans="1:1">
      <c r="A623" s="98"/>
    </row>
    <row r="624" spans="1:1">
      <c r="A624" s="98"/>
    </row>
    <row r="627" spans="1:1">
      <c r="A627" s="98"/>
    </row>
    <row r="628" spans="1:1">
      <c r="A628" s="98"/>
    </row>
    <row r="629" spans="1:1">
      <c r="A629" s="99"/>
    </row>
    <row r="630" spans="1:1">
      <c r="A630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8"/>
    </row>
    <row r="639" spans="1:1">
      <c r="A639" s="98"/>
    </row>
    <row r="641" spans="1:1">
      <c r="A641" s="98"/>
    </row>
    <row r="642" spans="1:1">
      <c r="A642" s="98"/>
    </row>
    <row r="645" spans="1:1">
      <c r="A645" s="98"/>
    </row>
    <row r="646" spans="1:1">
      <c r="A646" s="98"/>
    </row>
    <row r="648" spans="1:1">
      <c r="A648" s="98"/>
    </row>
    <row r="650" spans="1:1">
      <c r="A650" s="98"/>
    </row>
    <row r="651" spans="1:1">
      <c r="A651" s="98"/>
    </row>
    <row r="654" spans="1:1">
      <c r="A654" s="98"/>
    </row>
    <row r="655" spans="1:1">
      <c r="A655" s="98"/>
    </row>
    <row r="657" spans="1:1">
      <c r="A657" s="98"/>
    </row>
    <row r="658" spans="1:1">
      <c r="A658" s="98"/>
    </row>
    <row r="661" spans="1:1">
      <c r="A661" s="98"/>
    </row>
    <row r="662" spans="1:1">
      <c r="A662" s="98"/>
    </row>
    <row r="740" spans="1:1">
      <c r="A740" s="98"/>
    </row>
    <row r="741" spans="1:1">
      <c r="A741" s="99"/>
    </row>
    <row r="742" spans="1:1">
      <c r="A742" s="99"/>
    </row>
    <row r="745" spans="1:1">
      <c r="A745" s="99"/>
    </row>
    <row r="746" spans="1:1">
      <c r="A746" s="99"/>
    </row>
    <row r="747" spans="1:1">
      <c r="A747" s="98"/>
    </row>
    <row r="748" spans="1:1">
      <c r="A748" s="98"/>
    </row>
    <row r="751" spans="1:1">
      <c r="A751" s="98"/>
    </row>
    <row r="752" spans="1:1">
      <c r="A752" s="98"/>
    </row>
    <row r="754" spans="1:1">
      <c r="A754" s="98"/>
    </row>
    <row r="755" spans="1:1">
      <c r="A755" s="98"/>
    </row>
    <row r="758" spans="1:1">
      <c r="A758" s="98"/>
    </row>
    <row r="759" spans="1:1">
      <c r="A759" s="98"/>
    </row>
    <row r="761" spans="1:1">
      <c r="A761" s="98"/>
    </row>
    <row r="762" spans="1:1">
      <c r="A762" s="98"/>
    </row>
    <row r="765" spans="1:1">
      <c r="A765" s="98"/>
    </row>
    <row r="766" spans="1:1">
      <c r="A766" s="98"/>
    </row>
    <row r="768" spans="1:1">
      <c r="A768" s="98"/>
    </row>
    <row r="769" spans="1:1">
      <c r="A769" s="98"/>
    </row>
    <row r="772" spans="1:1">
      <c r="A772" s="98"/>
    </row>
    <row r="773" spans="1:1">
      <c r="A773" s="98"/>
    </row>
    <row r="775" spans="1:1">
      <c r="A775" s="98"/>
    </row>
    <row r="776" spans="1:1">
      <c r="A776" s="98"/>
    </row>
    <row r="777" spans="1:1">
      <c r="A777" s="98"/>
    </row>
    <row r="780" spans="1:1">
      <c r="A780" s="98"/>
    </row>
    <row r="781" spans="1:1">
      <c r="A781" s="98"/>
    </row>
    <row r="783" spans="1:1">
      <c r="A783" s="98"/>
    </row>
    <row r="784" spans="1:1">
      <c r="A784" s="98"/>
    </row>
    <row r="787" spans="1:1">
      <c r="A787" s="98"/>
    </row>
    <row r="788" spans="1:1">
      <c r="A788" s="98"/>
    </row>
    <row r="866" spans="1:1">
      <c r="A866" s="98"/>
    </row>
    <row r="868" spans="1:1">
      <c r="A868" s="98"/>
    </row>
    <row r="869" spans="1:1">
      <c r="A869" s="98"/>
    </row>
    <row r="872" spans="1:1">
      <c r="A872" s="98"/>
    </row>
    <row r="873" spans="1:1">
      <c r="A873" s="98"/>
    </row>
    <row r="893" spans="1:1">
      <c r="A893" s="98"/>
    </row>
    <row r="899" spans="1:1">
      <c r="A899" s="98"/>
    </row>
    <row r="933" spans="1:1">
      <c r="A933" s="98"/>
    </row>
    <row r="940" spans="1:1">
      <c r="A940" s="99"/>
    </row>
    <row r="942" spans="1:1">
      <c r="A942" s="98"/>
    </row>
    <row r="944" spans="1:1">
      <c r="A944" s="98"/>
    </row>
    <row r="945" spans="1:1">
      <c r="A945" s="98"/>
    </row>
    <row r="948" spans="1:1">
      <c r="A948" s="98"/>
    </row>
    <row r="949" spans="1:1">
      <c r="A949" s="98"/>
    </row>
    <row r="951" spans="1:1">
      <c r="A951" s="98"/>
    </row>
    <row r="952" spans="1:1">
      <c r="A952" s="98"/>
    </row>
    <row r="955" spans="1:1">
      <c r="A955" s="98"/>
    </row>
    <row r="956" spans="1:1">
      <c r="A956" s="98"/>
    </row>
    <row r="1007" spans="1:1">
      <c r="A1007" s="99"/>
    </row>
    <row r="1008" spans="1:1">
      <c r="A1008" s="99"/>
    </row>
    <row r="1009" spans="1:1">
      <c r="A1009" s="99"/>
    </row>
    <row r="1010" spans="1:1">
      <c r="A1010" s="99"/>
    </row>
    <row r="1020" spans="1:1">
      <c r="A1020" s="99"/>
    </row>
    <row r="1026" spans="1:1">
      <c r="A1026" s="99"/>
    </row>
    <row r="1028" spans="1:1">
      <c r="A1028" s="98"/>
    </row>
    <row r="1030" spans="1:1">
      <c r="A1030" s="98"/>
    </row>
    <row r="1031" spans="1:1">
      <c r="A1031" s="98"/>
    </row>
    <row r="1034" spans="1:1">
      <c r="A1034" s="98"/>
    </row>
    <row r="1035" spans="1:1">
      <c r="A1035" s="98"/>
    </row>
    <row r="1037" spans="1:1">
      <c r="A1037" s="98"/>
    </row>
    <row r="1038" spans="1:1">
      <c r="A1038" s="98"/>
    </row>
    <row r="1041" spans="1:1">
      <c r="A1041" s="98"/>
    </row>
    <row r="1042" spans="1:1">
      <c r="A1042" s="98"/>
    </row>
    <row r="1044" spans="1:1">
      <c r="A1044" s="98"/>
    </row>
    <row r="1045" spans="1:1">
      <c r="A1045" s="98"/>
    </row>
    <row r="1048" spans="1:1">
      <c r="A1048" s="98"/>
    </row>
    <row r="1049" spans="1:1">
      <c r="A1049" s="98"/>
    </row>
    <row r="1051" spans="1:1">
      <c r="A1051" s="98"/>
    </row>
    <row r="1052" spans="1:1">
      <c r="A1052" s="98"/>
    </row>
    <row r="1055" spans="1:1">
      <c r="A1055" s="98"/>
    </row>
    <row r="1056" spans="1:1">
      <c r="A1056" s="98"/>
    </row>
    <row r="1058" spans="1:1">
      <c r="A1058" s="98"/>
    </row>
    <row r="1059" spans="1:1">
      <c r="A1059" s="98"/>
    </row>
    <row r="1062" spans="1:1">
      <c r="A1062" s="98"/>
    </row>
    <row r="1063" spans="1:1">
      <c r="A1063" s="98"/>
    </row>
    <row r="1065" spans="1:1">
      <c r="A1065" s="98"/>
    </row>
    <row r="1066" spans="1:1">
      <c r="A1066" s="98"/>
    </row>
    <row r="1069" spans="1:1">
      <c r="A1069" s="98"/>
    </row>
    <row r="1070" spans="1:1">
      <c r="A1070" s="98"/>
    </row>
    <row r="1072" spans="1:1">
      <c r="A1072" s="98"/>
    </row>
    <row r="1073" spans="1:1">
      <c r="A1073" s="98"/>
    </row>
    <row r="1076" spans="1:1">
      <c r="A1076" s="98"/>
    </row>
    <row r="1077" spans="1:1">
      <c r="A1077" s="98"/>
    </row>
    <row r="1079" spans="1:1">
      <c r="A1079" s="98"/>
    </row>
    <row r="1080" spans="1:1">
      <c r="A1080" s="98"/>
    </row>
    <row r="1083" spans="1:1">
      <c r="A1083" s="98"/>
    </row>
    <row r="1084" spans="1:1">
      <c r="A1084" s="98"/>
    </row>
    <row r="1085" spans="1:1">
      <c r="A1085" s="99"/>
    </row>
    <row r="1086" spans="1:1">
      <c r="A1086" s="99"/>
    </row>
    <row r="1089" spans="1:1">
      <c r="A1089" s="99"/>
    </row>
    <row r="1090" spans="1:1">
      <c r="A1090" s="99"/>
    </row>
    <row r="1091" spans="1:1">
      <c r="A1091" s="98"/>
    </row>
    <row r="1092" spans="1:1">
      <c r="A1092" s="98"/>
    </row>
    <row r="1095" spans="1:1">
      <c r="A1095" s="98"/>
    </row>
    <row r="1096" spans="1:1">
      <c r="A1096" s="98"/>
    </row>
    <row r="1114" spans="1:1">
      <c r="A1114" s="98"/>
    </row>
    <row r="1116" spans="1:1">
      <c r="A1116" s="98"/>
    </row>
    <row r="1128" spans="1:1">
      <c r="A1128" s="98"/>
    </row>
    <row r="1135" spans="1:1">
      <c r="A1135" s="98"/>
    </row>
    <row r="1137" spans="1:1">
      <c r="A1137" s="98"/>
    </row>
    <row r="1138" spans="1:1">
      <c r="A1138" s="98"/>
    </row>
    <row r="1141" spans="1:1">
      <c r="A1141" s="98"/>
    </row>
    <row r="1142" spans="1:1">
      <c r="A1142" s="98"/>
    </row>
    <row r="1144" spans="1:1">
      <c r="A1144" s="98"/>
    </row>
    <row r="1145" spans="1:1">
      <c r="A1145" s="98"/>
    </row>
    <row r="1148" spans="1:1">
      <c r="A1148" s="98"/>
    </row>
    <row r="1149" spans="1:1">
      <c r="A1149" s="98"/>
    </row>
    <row r="1150" spans="1:1">
      <c r="A1150" s="98"/>
    </row>
    <row r="1152" spans="1:1">
      <c r="A1152" s="98"/>
    </row>
    <row r="1153" spans="1:1">
      <c r="A1153" s="99"/>
    </row>
    <row r="1154" spans="1:1">
      <c r="A1154" s="99"/>
    </row>
    <row r="1155" spans="1:1">
      <c r="A1155" s="98"/>
    </row>
    <row r="1156" spans="1:1">
      <c r="A1156" s="98"/>
    </row>
    <row r="1157" spans="1:1">
      <c r="A1157" s="98"/>
    </row>
    <row r="1160" spans="1:1">
      <c r="A1160" s="98"/>
    </row>
    <row r="1161" spans="1:1">
      <c r="A1161" s="98"/>
    </row>
    <row r="1163" spans="1:1">
      <c r="A1163" s="98"/>
    </row>
    <row r="1164" spans="1:1">
      <c r="A1164" s="99"/>
    </row>
    <row r="1165" spans="1:1">
      <c r="A1165" s="99"/>
    </row>
    <row r="1166" spans="1:1">
      <c r="A1166" s="98"/>
    </row>
    <row r="1167" spans="1:1">
      <c r="A1167" s="98"/>
    </row>
    <row r="1168" spans="1:1">
      <c r="A1168" s="98"/>
    </row>
    <row r="1173" spans="1:1">
      <c r="A1173" s="98"/>
    </row>
    <row r="1174" spans="1:1">
      <c r="A1174" s="98"/>
    </row>
    <row r="1176" spans="1:1">
      <c r="A1176" s="98"/>
    </row>
    <row r="1178" spans="1:1">
      <c r="A1178" s="98"/>
    </row>
    <row r="1179" spans="1:1">
      <c r="A1179" s="98"/>
    </row>
    <row r="1182" spans="1:1">
      <c r="A1182" s="98"/>
    </row>
    <row r="1183" spans="1:1">
      <c r="A1183" s="98"/>
    </row>
    <row r="1185" spans="1:1">
      <c r="A1185" s="98"/>
    </row>
    <row r="1186" spans="1:1">
      <c r="A1186" s="98"/>
    </row>
    <row r="1189" spans="1:1">
      <c r="A1189" s="98"/>
    </row>
    <row r="1190" spans="1:1">
      <c r="A1190" s="98"/>
    </row>
    <row r="1192" spans="1:1">
      <c r="A1192" s="98"/>
    </row>
    <row r="1194" spans="1:1">
      <c r="A1194" s="98"/>
    </row>
    <row r="1195" spans="1:1">
      <c r="A1195" s="98"/>
    </row>
    <row r="1198" spans="1:1">
      <c r="A1198" s="98"/>
    </row>
    <row r="1199" spans="1:1">
      <c r="A1199" s="98"/>
    </row>
    <row r="1277" spans="1:1">
      <c r="A1277" s="98"/>
    </row>
    <row r="1279" spans="1:1">
      <c r="A1279" s="98"/>
    </row>
    <row r="1280" spans="1:1">
      <c r="A1280" s="98"/>
    </row>
    <row r="1283" spans="1:1">
      <c r="A1283" s="98"/>
    </row>
    <row r="1284" spans="1:1">
      <c r="A1284" s="98"/>
    </row>
    <row r="1286" spans="1:1">
      <c r="A1286" s="98"/>
    </row>
    <row r="1287" spans="1:1">
      <c r="A1287" s="98"/>
    </row>
    <row r="1290" spans="1:1">
      <c r="A1290" s="98"/>
    </row>
    <row r="1291" spans="1:1">
      <c r="A1291" s="98"/>
    </row>
    <row r="1369" spans="1:1">
      <c r="A1369" s="98"/>
    </row>
    <row r="1371" spans="1:1">
      <c r="A1371" s="98"/>
    </row>
    <row r="1372" spans="1:1">
      <c r="A1372" s="98"/>
    </row>
    <row r="1375" spans="1:1">
      <c r="A1375" s="98"/>
    </row>
    <row r="1376" spans="1:1">
      <c r="A1376" s="98"/>
    </row>
    <row r="1378" spans="1:1">
      <c r="A1378" s="98"/>
    </row>
    <row r="1379" spans="1:1">
      <c r="A1379" s="98"/>
    </row>
    <row r="1382" spans="1:1">
      <c r="A1382" s="98"/>
    </row>
    <row r="1383" spans="1:1">
      <c r="A1383" s="98"/>
    </row>
    <row r="1385" spans="1:1">
      <c r="A1385" s="98"/>
    </row>
    <row r="1386" spans="1:1">
      <c r="A1386" s="98"/>
    </row>
    <row r="1389" spans="1:1">
      <c r="A1389" s="98"/>
    </row>
    <row r="1390" spans="1:1">
      <c r="A1390" s="98"/>
    </row>
    <row r="1391" spans="1:1">
      <c r="A1391" s="99"/>
    </row>
    <row r="1392" spans="1:1">
      <c r="A1392" s="99"/>
    </row>
    <row r="1395" spans="1:1">
      <c r="A1395" s="99"/>
    </row>
    <row r="1396" spans="1:1">
      <c r="A1396" s="99"/>
    </row>
    <row r="1397" spans="1:1">
      <c r="A1397" s="98"/>
    </row>
    <row r="1398" spans="1:1">
      <c r="A1398" s="98"/>
    </row>
    <row r="1401" spans="1:1">
      <c r="A1401" s="98"/>
    </row>
    <row r="1402" spans="1:1">
      <c r="A1402" s="98"/>
    </row>
    <row r="1404" spans="1:1">
      <c r="A1404" s="98"/>
    </row>
    <row r="1405" spans="1:1">
      <c r="A1405" s="98"/>
    </row>
    <row r="1408" spans="1:1">
      <c r="A1408" s="98"/>
    </row>
    <row r="1409" spans="1:1">
      <c r="A1409" s="98"/>
    </row>
    <row r="1411" spans="1:1">
      <c r="A1411" s="98"/>
    </row>
    <row r="1412" spans="1:1">
      <c r="A1412" s="98"/>
    </row>
    <row r="1415" spans="1:1">
      <c r="A1415" s="98"/>
    </row>
    <row r="1416" spans="1:1">
      <c r="A1416" s="98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9908-6E97-0C40-8862-9B9257C7C22A}">
  <dimension ref="A1:AE1413"/>
  <sheetViews>
    <sheetView workbookViewId="0">
      <selection activeCell="G5" sqref="G5"/>
    </sheetView>
  </sheetViews>
  <sheetFormatPr baseColWidth="10" defaultColWidth="8.83203125" defaultRowHeight="16"/>
  <cols>
    <col min="1" max="1" width="9.6640625" bestFit="1" customWidth="1"/>
  </cols>
  <sheetData>
    <row r="1" spans="1:31">
      <c r="A1" s="85" t="s">
        <v>103</v>
      </c>
      <c r="B1" s="86" t="s">
        <v>0</v>
      </c>
      <c r="C1" s="86" t="s">
        <v>66</v>
      </c>
      <c r="D1" s="86" t="s">
        <v>67</v>
      </c>
      <c r="E1" s="86" t="s">
        <v>68</v>
      </c>
      <c r="F1" s="86" t="s">
        <v>69</v>
      </c>
      <c r="G1" s="86" t="s">
        <v>70</v>
      </c>
      <c r="H1" s="86" t="s">
        <v>71</v>
      </c>
      <c r="I1" s="86" t="s">
        <v>72</v>
      </c>
      <c r="J1" s="86" t="s">
        <v>73</v>
      </c>
      <c r="K1" s="86" t="s">
        <v>74</v>
      </c>
      <c r="L1" s="86" t="s">
        <v>75</v>
      </c>
      <c r="M1" s="86" t="s">
        <v>76</v>
      </c>
      <c r="N1" s="86" t="s">
        <v>77</v>
      </c>
      <c r="O1" s="86" t="s">
        <v>78</v>
      </c>
      <c r="P1" s="86" t="s">
        <v>79</v>
      </c>
      <c r="Q1" s="86" t="s">
        <v>80</v>
      </c>
      <c r="R1" s="86" t="s">
        <v>81</v>
      </c>
      <c r="S1" s="86" t="s">
        <v>82</v>
      </c>
      <c r="T1" s="86" t="s">
        <v>83</v>
      </c>
      <c r="U1" s="86" t="s">
        <v>84</v>
      </c>
      <c r="V1" s="86" t="s">
        <v>85</v>
      </c>
      <c r="W1" s="86" t="s">
        <v>86</v>
      </c>
      <c r="X1" s="86" t="s">
        <v>87</v>
      </c>
      <c r="Y1" s="86" t="s">
        <v>88</v>
      </c>
      <c r="Z1" s="86" t="s">
        <v>411</v>
      </c>
      <c r="AA1" s="86" t="s">
        <v>101</v>
      </c>
      <c r="AB1" s="86" t="s">
        <v>101</v>
      </c>
      <c r="AC1" s="86" t="s">
        <v>101</v>
      </c>
      <c r="AD1" s="86" t="s">
        <v>101</v>
      </c>
      <c r="AE1" s="86" t="s">
        <v>101</v>
      </c>
    </row>
    <row r="2" spans="1:31">
      <c r="A2" s="93" t="s">
        <v>1</v>
      </c>
      <c r="B2" s="2">
        <v>1.6299999999999999E-3</v>
      </c>
      <c r="C2" s="2">
        <v>0.22800000000000001</v>
      </c>
      <c r="D2" s="2">
        <v>0.28100000000000003</v>
      </c>
      <c r="E2" s="2">
        <v>0.17399999999999999</v>
      </c>
      <c r="F2" s="2">
        <v>0.13700000000000001</v>
      </c>
      <c r="G2" s="2">
        <v>0.112</v>
      </c>
      <c r="H2" s="2">
        <v>3.8399999999999997E-2</v>
      </c>
      <c r="I2" s="2">
        <v>0.12</v>
      </c>
      <c r="J2" s="2">
        <v>0.106</v>
      </c>
      <c r="K2" s="2">
        <v>7.8899999999999998E-2</v>
      </c>
      <c r="L2" s="2">
        <v>4.7199999999999999E-2</v>
      </c>
      <c r="M2" s="2">
        <v>4.53E-2</v>
      </c>
      <c r="N2" s="2">
        <v>4.2999999999999997E-2</v>
      </c>
      <c r="O2" s="2">
        <v>3.3099999999999997E-2</v>
      </c>
      <c r="P2" s="2">
        <v>8.2699999999999996E-2</v>
      </c>
      <c r="Q2" s="2">
        <v>6.0900000000000003E-2</v>
      </c>
      <c r="R2" s="2">
        <v>3.8600000000000002E-2</v>
      </c>
      <c r="S2" s="2">
        <v>5.5100000000000003E-2</v>
      </c>
      <c r="T2" s="2">
        <v>6.13E-2</v>
      </c>
      <c r="U2" s="2">
        <v>6.0400000000000002E-2</v>
      </c>
      <c r="V2" s="2">
        <v>5.33E-2</v>
      </c>
      <c r="W2" s="2">
        <v>3.5900000000000001E-2</v>
      </c>
      <c r="X2" s="2">
        <v>5.5E-2</v>
      </c>
      <c r="Y2" s="2">
        <v>4.5199999999999997E-2</v>
      </c>
      <c r="Z2" s="2">
        <v>3.0200000000000001E-2</v>
      </c>
      <c r="AA2" s="2">
        <v>4.19E-2</v>
      </c>
      <c r="AB2" s="2">
        <v>9.8500000000000004E-2</v>
      </c>
      <c r="AC2" s="2">
        <v>2.6700000000000002E-2</v>
      </c>
      <c r="AD2" s="2">
        <v>0.23799999999999999</v>
      </c>
      <c r="AE2" s="2">
        <v>6.9900000000000004E-2</v>
      </c>
    </row>
    <row r="3" spans="1:31">
      <c r="A3" s="9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>
      <c r="A4" s="93" t="s">
        <v>4</v>
      </c>
      <c r="B4" s="2">
        <v>3.1600000000000003E-2</v>
      </c>
      <c r="C4" s="2">
        <v>0.13800000000000001</v>
      </c>
      <c r="D4" s="5"/>
      <c r="E4" s="2">
        <v>8.8499999999999995E-2</v>
      </c>
      <c r="F4" s="2">
        <v>0.108</v>
      </c>
      <c r="G4" s="2">
        <v>0.17499999999999999</v>
      </c>
      <c r="H4" s="2">
        <v>8.3099999999999993E-2</v>
      </c>
      <c r="I4" s="2">
        <v>0.114</v>
      </c>
      <c r="J4" s="2">
        <v>7.7799999999999994E-2</v>
      </c>
      <c r="K4" s="2">
        <v>4.7500000000000001E-2</v>
      </c>
      <c r="L4" s="2">
        <v>4.2799999999999998E-2</v>
      </c>
      <c r="M4" s="2">
        <v>2.5600000000000001E-2</v>
      </c>
      <c r="N4" s="2">
        <v>3.1399999999999997E-2</v>
      </c>
      <c r="O4" s="2">
        <v>2.0500000000000001E-2</v>
      </c>
      <c r="P4" s="2">
        <v>0.08</v>
      </c>
      <c r="Q4" s="2">
        <v>0.126</v>
      </c>
      <c r="R4" s="2">
        <v>4.5900000000000003E-2</v>
      </c>
      <c r="S4" s="2">
        <v>9.11E-2</v>
      </c>
      <c r="T4" s="2">
        <v>8.1500000000000003E-2</v>
      </c>
      <c r="U4" s="2">
        <v>8.5300000000000001E-2</v>
      </c>
      <c r="V4" s="2">
        <v>9.1200000000000003E-2</v>
      </c>
      <c r="W4" s="2">
        <v>4.5499999999999999E-2</v>
      </c>
      <c r="X4" s="2">
        <v>6.2E-2</v>
      </c>
      <c r="Y4" s="2">
        <v>4.9099999999999998E-2</v>
      </c>
      <c r="Z4" s="2">
        <v>7.3200000000000001E-2</v>
      </c>
      <c r="AA4" s="2">
        <v>3.9199999999999999E-2</v>
      </c>
      <c r="AB4" s="2">
        <v>3.9399999999999998E-2</v>
      </c>
      <c r="AC4" s="2">
        <v>1.3899999999999999E-2</v>
      </c>
      <c r="AD4" s="2">
        <v>0.185</v>
      </c>
      <c r="AE4" s="2">
        <v>9.2200000000000004E-2</v>
      </c>
    </row>
    <row r="5" spans="1:31">
      <c r="A5" s="93" t="s">
        <v>5</v>
      </c>
      <c r="B5" s="4">
        <v>0.129</v>
      </c>
      <c r="C5" s="4">
        <v>0.68</v>
      </c>
      <c r="D5" s="4">
        <v>0.46500000000000002</v>
      </c>
      <c r="E5" s="4">
        <v>1.66E-2</v>
      </c>
      <c r="F5" s="4">
        <v>0.308</v>
      </c>
      <c r="G5" s="4">
        <v>0.57299999999999995</v>
      </c>
      <c r="H5" s="4">
        <v>0.22500000000000001</v>
      </c>
      <c r="I5" s="4">
        <v>0.316</v>
      </c>
      <c r="J5" s="4">
        <v>0.23499999999999999</v>
      </c>
      <c r="K5" s="4">
        <v>0.47</v>
      </c>
      <c r="L5" s="4">
        <v>0.438</v>
      </c>
      <c r="M5" s="4">
        <v>0.13200000000000001</v>
      </c>
      <c r="N5" s="4">
        <v>0.157</v>
      </c>
      <c r="O5" s="4">
        <v>0.126</v>
      </c>
      <c r="P5" s="4">
        <v>0.442</v>
      </c>
      <c r="Q5" s="4">
        <v>0.21</v>
      </c>
      <c r="R5" s="4">
        <v>0.435</v>
      </c>
      <c r="S5" s="4">
        <v>0.496</v>
      </c>
      <c r="T5" s="4">
        <v>0.19</v>
      </c>
      <c r="U5" s="4">
        <v>0.23699999999999999</v>
      </c>
      <c r="V5" s="4">
        <v>0.32300000000000001</v>
      </c>
      <c r="W5" s="4">
        <v>0.45400000000000001</v>
      </c>
      <c r="X5" s="4">
        <v>0.51200000000000001</v>
      </c>
      <c r="Y5" s="4">
        <v>0.42199999999999999</v>
      </c>
      <c r="Z5" s="4">
        <v>0.23599999999999999</v>
      </c>
      <c r="AA5" s="4">
        <v>0.223</v>
      </c>
      <c r="AB5" s="4">
        <v>0.371</v>
      </c>
      <c r="AC5" s="4">
        <v>0.111</v>
      </c>
      <c r="AD5" s="4">
        <v>0.51400000000000001</v>
      </c>
      <c r="AE5" s="4">
        <v>0.17299999999999999</v>
      </c>
    </row>
    <row r="6" spans="1:31">
      <c r="A6" s="93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2">
        <v>1.6899999999999998E-2</v>
      </c>
      <c r="AB6" s="5"/>
      <c r="AC6" s="5"/>
      <c r="AD6" s="5"/>
      <c r="AE6" s="5"/>
    </row>
    <row r="7" spans="1:31">
      <c r="A7" s="93" t="s">
        <v>7</v>
      </c>
      <c r="B7" s="4">
        <v>3.3099999999999997E-2</v>
      </c>
      <c r="C7" s="4">
        <v>3.6999999999999998E-2</v>
      </c>
      <c r="D7" s="4">
        <v>0.128</v>
      </c>
      <c r="E7" s="4">
        <v>0.19900000000000001</v>
      </c>
      <c r="F7" s="4">
        <v>2.17</v>
      </c>
      <c r="G7" s="3"/>
      <c r="H7" s="4">
        <v>0.13400000000000001</v>
      </c>
      <c r="I7" s="4">
        <v>0.17799999999999999</v>
      </c>
      <c r="J7" s="4">
        <v>0.11700000000000001</v>
      </c>
      <c r="K7" s="4">
        <v>1.89E-2</v>
      </c>
      <c r="L7" s="4">
        <v>2.9000000000000001E-2</v>
      </c>
      <c r="M7" s="4">
        <v>3.5700000000000003E-2</v>
      </c>
      <c r="N7" s="4">
        <v>3.95E-2</v>
      </c>
      <c r="O7" s="4">
        <v>2.9100000000000001E-2</v>
      </c>
      <c r="P7" s="4">
        <v>2.5600000000000001E-2</v>
      </c>
      <c r="Q7" s="4">
        <v>6.0100000000000001E-2</v>
      </c>
      <c r="R7" s="4">
        <v>0.106</v>
      </c>
      <c r="S7" s="4">
        <v>0.13800000000000001</v>
      </c>
      <c r="T7" s="4">
        <v>5.7299999999999997E-2</v>
      </c>
      <c r="U7" s="4">
        <v>7.0599999999999996E-2</v>
      </c>
      <c r="V7" s="4">
        <v>0.10100000000000001</v>
      </c>
      <c r="W7" s="4">
        <v>8.8599999999999998E-2</v>
      </c>
      <c r="X7" s="4">
        <v>6.9199999999999998E-2</v>
      </c>
      <c r="Y7" s="4">
        <v>7.1999999999999995E-2</v>
      </c>
      <c r="Z7" s="4">
        <v>5.5500000000000001E-2</v>
      </c>
      <c r="AA7" s="4">
        <v>4.1200000000000001E-2</v>
      </c>
      <c r="AB7" s="4">
        <v>3.61E-2</v>
      </c>
      <c r="AC7" s="4">
        <v>1.6899999999999998E-2</v>
      </c>
      <c r="AD7" s="4">
        <v>0.48399999999999999</v>
      </c>
      <c r="AE7" s="4">
        <v>8.0100000000000005E-2</v>
      </c>
    </row>
    <row r="8" spans="1:31">
      <c r="A8" s="93" t="s">
        <v>8</v>
      </c>
      <c r="B8" s="2">
        <v>0.14299999999999999</v>
      </c>
      <c r="C8" s="2">
        <v>0.34399999999999997</v>
      </c>
      <c r="D8" s="2">
        <v>0.34300000000000003</v>
      </c>
      <c r="E8" s="2">
        <v>0.32</v>
      </c>
      <c r="F8" s="2">
        <v>0.25</v>
      </c>
      <c r="G8" s="2">
        <v>0.30099999999999999</v>
      </c>
      <c r="H8" s="5"/>
      <c r="I8" s="2">
        <v>0.114</v>
      </c>
      <c r="J8" s="2">
        <v>0.24</v>
      </c>
      <c r="K8" s="2">
        <v>0.156</v>
      </c>
      <c r="L8" s="2">
        <v>0.217</v>
      </c>
      <c r="M8" s="2">
        <v>0.13700000000000001</v>
      </c>
      <c r="N8" s="2">
        <v>0.14599999999999999</v>
      </c>
      <c r="O8" s="2">
        <v>0.13</v>
      </c>
      <c r="P8" s="2">
        <v>0.188</v>
      </c>
      <c r="Q8" s="2">
        <v>0.21199999999999999</v>
      </c>
      <c r="R8" s="2">
        <v>0.17699999999999999</v>
      </c>
      <c r="S8" s="2">
        <v>0.189</v>
      </c>
      <c r="T8" s="2">
        <v>0.26</v>
      </c>
      <c r="U8" s="2">
        <v>0.20899999999999999</v>
      </c>
      <c r="V8" s="2">
        <v>0.21299999999999999</v>
      </c>
      <c r="W8" s="2">
        <v>0.154</v>
      </c>
      <c r="X8" s="2">
        <v>0.21199999999999999</v>
      </c>
      <c r="Y8" s="2">
        <v>0.19700000000000001</v>
      </c>
      <c r="Z8" s="2">
        <v>0.13800000000000001</v>
      </c>
      <c r="AA8" s="2">
        <v>0.13600000000000001</v>
      </c>
      <c r="AB8" s="2">
        <v>0.18099999999999999</v>
      </c>
      <c r="AC8" s="2">
        <v>0.113</v>
      </c>
      <c r="AD8" s="2">
        <v>0.29299999999999998</v>
      </c>
      <c r="AE8" s="2">
        <v>0.224</v>
      </c>
    </row>
    <row r="9" spans="1:31">
      <c r="A9" s="93" t="s">
        <v>9</v>
      </c>
      <c r="B9" s="4">
        <v>1.81</v>
      </c>
      <c r="C9" s="4">
        <v>1.25</v>
      </c>
      <c r="D9" s="4">
        <v>2.33</v>
      </c>
      <c r="E9" s="4">
        <v>1.76</v>
      </c>
      <c r="F9" s="4">
        <v>1.84</v>
      </c>
      <c r="G9" s="4">
        <v>1.64</v>
      </c>
      <c r="H9" s="4">
        <v>0.90200000000000002</v>
      </c>
      <c r="I9" s="4">
        <v>1.27</v>
      </c>
      <c r="J9" s="4">
        <v>1.22</v>
      </c>
      <c r="K9" s="4">
        <v>0.76400000000000001</v>
      </c>
      <c r="L9" s="4">
        <v>0.9</v>
      </c>
      <c r="M9" s="4">
        <v>1.79</v>
      </c>
      <c r="N9" s="4">
        <v>1.89</v>
      </c>
      <c r="O9" s="4">
        <v>1.66</v>
      </c>
      <c r="P9" s="4">
        <v>0.874</v>
      </c>
      <c r="Q9" s="4">
        <v>1.06</v>
      </c>
      <c r="R9" s="4">
        <v>1.17</v>
      </c>
      <c r="S9" s="4">
        <v>1.25</v>
      </c>
      <c r="T9" s="4">
        <v>0.99</v>
      </c>
      <c r="U9" s="4">
        <v>0.94099999999999995</v>
      </c>
      <c r="V9" s="4">
        <v>1.27</v>
      </c>
      <c r="W9" s="4">
        <v>1.3</v>
      </c>
      <c r="X9" s="4">
        <v>1.39</v>
      </c>
      <c r="Y9" s="4">
        <v>1.21</v>
      </c>
      <c r="Z9" s="4">
        <v>0.97699999999999998</v>
      </c>
      <c r="AA9" s="4">
        <v>1.39</v>
      </c>
      <c r="AB9" s="4">
        <v>0.66800000000000004</v>
      </c>
      <c r="AC9" s="4">
        <v>1.31</v>
      </c>
      <c r="AD9" s="4">
        <v>2.0099999999999998</v>
      </c>
      <c r="AE9" s="4">
        <v>0.95299999999999996</v>
      </c>
    </row>
    <row r="10" spans="1:31">
      <c r="A10" s="93" t="s">
        <v>10</v>
      </c>
      <c r="B10" s="2">
        <v>0.44900000000000001</v>
      </c>
      <c r="C10" s="2">
        <v>0.42299999999999999</v>
      </c>
      <c r="D10" s="2">
        <v>1.1599999999999999</v>
      </c>
      <c r="E10" s="2">
        <v>0.873</v>
      </c>
      <c r="F10" s="2">
        <v>0.76100000000000001</v>
      </c>
      <c r="G10" s="2">
        <v>0.48699999999999999</v>
      </c>
      <c r="H10" s="2">
        <v>0.42699999999999999</v>
      </c>
      <c r="I10" s="2">
        <v>0.73799999999999999</v>
      </c>
      <c r="J10" s="2">
        <v>0.56499999999999995</v>
      </c>
      <c r="K10" s="2">
        <v>1.02</v>
      </c>
      <c r="L10" s="2">
        <v>1.19</v>
      </c>
      <c r="M10" s="2">
        <v>0.436</v>
      </c>
      <c r="N10" s="2">
        <v>0.47</v>
      </c>
      <c r="O10" s="2">
        <v>0.373</v>
      </c>
      <c r="P10" s="2">
        <v>0.79100000000000004</v>
      </c>
      <c r="Q10" s="2">
        <v>0.64300000000000002</v>
      </c>
      <c r="R10" s="2">
        <v>0.434</v>
      </c>
      <c r="S10" s="2">
        <v>0.40799999999999997</v>
      </c>
      <c r="T10" s="2">
        <v>0.33500000000000002</v>
      </c>
      <c r="U10" s="2">
        <v>0.379</v>
      </c>
      <c r="V10" s="2">
        <v>0.499</v>
      </c>
      <c r="W10" s="2">
        <v>0.38100000000000001</v>
      </c>
      <c r="X10" s="2">
        <v>0.43</v>
      </c>
      <c r="Y10" s="2">
        <v>0.41599999999999998</v>
      </c>
      <c r="Z10" s="2">
        <v>0.36199999999999999</v>
      </c>
      <c r="AA10" s="2">
        <v>0.40200000000000002</v>
      </c>
      <c r="AB10" s="2">
        <v>0.59099999999999997</v>
      </c>
      <c r="AC10" s="2">
        <v>4.9399999999999999E-2</v>
      </c>
      <c r="AD10" s="2">
        <v>0.92100000000000004</v>
      </c>
      <c r="AE10" s="2">
        <v>0.43</v>
      </c>
    </row>
    <row r="11" spans="1:31">
      <c r="A11" s="93" t="s">
        <v>11</v>
      </c>
      <c r="B11" s="4">
        <v>3.37</v>
      </c>
      <c r="C11" s="4">
        <v>4.59</v>
      </c>
      <c r="D11" s="4">
        <v>8.3800000000000008</v>
      </c>
      <c r="E11" s="4">
        <v>5.26</v>
      </c>
      <c r="F11" s="4">
        <v>5.72</v>
      </c>
      <c r="G11" s="4">
        <v>4.68</v>
      </c>
      <c r="H11" s="4">
        <v>3.2</v>
      </c>
      <c r="I11" s="4">
        <v>4.3499999999999996</v>
      </c>
      <c r="J11" s="4">
        <v>5.27</v>
      </c>
      <c r="K11" s="4">
        <v>4.91</v>
      </c>
      <c r="L11" s="4">
        <v>4.42</v>
      </c>
      <c r="M11" s="4">
        <v>3.23</v>
      </c>
      <c r="N11" s="4">
        <v>3.37</v>
      </c>
      <c r="O11" s="4">
        <v>2.87</v>
      </c>
      <c r="P11" s="4">
        <v>5.0599999999999996</v>
      </c>
      <c r="Q11" s="4">
        <v>3.57</v>
      </c>
      <c r="R11" s="4">
        <v>3.35</v>
      </c>
      <c r="S11" s="4">
        <v>4.99</v>
      </c>
      <c r="T11" s="4">
        <v>2.99</v>
      </c>
      <c r="U11" s="4">
        <v>3.48</v>
      </c>
      <c r="V11" s="4">
        <v>4</v>
      </c>
      <c r="W11" s="4">
        <v>3.28</v>
      </c>
      <c r="X11" s="4">
        <v>4.1500000000000004</v>
      </c>
      <c r="Y11" s="4">
        <v>3.49</v>
      </c>
      <c r="Z11" s="4">
        <v>2.4500000000000002</v>
      </c>
      <c r="AA11" s="4">
        <v>2.97</v>
      </c>
      <c r="AB11" s="4">
        <v>4.45</v>
      </c>
      <c r="AC11" s="4">
        <v>3.14</v>
      </c>
      <c r="AD11" s="4">
        <v>9.91</v>
      </c>
      <c r="AE11" s="4">
        <v>3.34</v>
      </c>
    </row>
    <row r="12" spans="1:31">
      <c r="A12" s="93" t="s">
        <v>12</v>
      </c>
      <c r="B12" s="2">
        <v>0.49399999999999999</v>
      </c>
      <c r="C12" s="2">
        <v>0.99099999999999999</v>
      </c>
      <c r="D12" s="2">
        <v>1.08</v>
      </c>
      <c r="E12" s="2">
        <v>1.41</v>
      </c>
      <c r="F12" s="2">
        <v>0.97799999999999998</v>
      </c>
      <c r="G12" s="2">
        <v>1.02</v>
      </c>
      <c r="H12" s="2">
        <v>0.68400000000000005</v>
      </c>
      <c r="I12" s="2">
        <v>1.03</v>
      </c>
      <c r="J12" s="2">
        <v>0.67600000000000005</v>
      </c>
      <c r="K12" s="2">
        <v>0.30399999999999999</v>
      </c>
      <c r="L12" s="2">
        <v>0.251</v>
      </c>
      <c r="M12" s="2">
        <v>0.45</v>
      </c>
      <c r="N12" s="2">
        <v>0.51700000000000002</v>
      </c>
      <c r="O12" s="2">
        <v>0.46100000000000002</v>
      </c>
      <c r="P12" s="2">
        <v>0.33500000000000002</v>
      </c>
      <c r="Q12" s="2">
        <v>0.63400000000000001</v>
      </c>
      <c r="R12" s="2">
        <v>0.41599999999999998</v>
      </c>
      <c r="S12" s="2">
        <v>0.745</v>
      </c>
      <c r="T12" s="2">
        <v>0.34699999999999998</v>
      </c>
      <c r="U12" s="2">
        <v>0.35199999999999998</v>
      </c>
      <c r="V12" s="2">
        <v>0.42799999999999999</v>
      </c>
      <c r="W12" s="2">
        <v>0.49399999999999999</v>
      </c>
      <c r="X12" s="2">
        <v>0.54200000000000004</v>
      </c>
      <c r="Y12" s="2">
        <v>0.47799999999999998</v>
      </c>
      <c r="Z12" s="2">
        <v>0.32300000000000001</v>
      </c>
      <c r="AA12" s="2">
        <v>0.53100000000000003</v>
      </c>
      <c r="AB12" s="2">
        <v>0.22500000000000001</v>
      </c>
      <c r="AC12" s="2">
        <v>0.41499999999999998</v>
      </c>
      <c r="AD12" s="2">
        <v>1.91</v>
      </c>
      <c r="AE12" s="2">
        <v>0.748</v>
      </c>
    </row>
    <row r="13" spans="1:31">
      <c r="A13" s="93" t="s">
        <v>13</v>
      </c>
      <c r="B13" s="4">
        <v>0.52700000000000002</v>
      </c>
      <c r="C13" s="4">
        <v>1.02</v>
      </c>
      <c r="D13" s="4">
        <v>0.79</v>
      </c>
      <c r="E13" s="4">
        <v>0.73599999999999999</v>
      </c>
      <c r="F13" s="4">
        <v>0.64100000000000001</v>
      </c>
      <c r="G13" s="4">
        <v>0.745</v>
      </c>
      <c r="H13" s="4">
        <v>1.82</v>
      </c>
      <c r="I13" s="4">
        <v>1.85</v>
      </c>
      <c r="J13" s="4">
        <v>1.68</v>
      </c>
      <c r="K13" s="4">
        <v>2.8000000000000001E-2</v>
      </c>
      <c r="L13" s="4">
        <v>1.48</v>
      </c>
      <c r="M13" s="4">
        <v>0.52200000000000002</v>
      </c>
      <c r="N13" s="4">
        <v>0.57999999999999996</v>
      </c>
      <c r="O13" s="4">
        <v>0.59099999999999997</v>
      </c>
      <c r="P13" s="4">
        <v>1.57</v>
      </c>
      <c r="Q13" s="4">
        <v>1.45</v>
      </c>
      <c r="R13" s="4">
        <v>1.27</v>
      </c>
      <c r="S13" s="4">
        <v>1.46</v>
      </c>
      <c r="T13" s="4">
        <v>1.48</v>
      </c>
      <c r="U13" s="4">
        <v>1.8</v>
      </c>
      <c r="V13" s="4">
        <v>1.72</v>
      </c>
      <c r="W13" s="4">
        <v>1.45</v>
      </c>
      <c r="X13" s="4">
        <v>1.5</v>
      </c>
      <c r="Y13" s="4">
        <v>1.08</v>
      </c>
      <c r="Z13" s="4">
        <v>1.72</v>
      </c>
      <c r="AA13" s="4">
        <v>0.96799999999999997</v>
      </c>
      <c r="AB13" s="4">
        <v>0.94099999999999995</v>
      </c>
      <c r="AC13" s="4">
        <v>1.06</v>
      </c>
      <c r="AD13" s="4">
        <v>0.9</v>
      </c>
      <c r="AE13" s="4">
        <v>1.27</v>
      </c>
    </row>
    <row r="14" spans="1:31">
      <c r="A14" s="93" t="s">
        <v>761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>
      <c r="A15" s="93" t="s">
        <v>14</v>
      </c>
      <c r="B15" s="4">
        <v>1.29</v>
      </c>
      <c r="C15" s="4">
        <v>3.31</v>
      </c>
      <c r="D15" s="4">
        <v>4.8899999999999997</v>
      </c>
      <c r="E15" s="4">
        <v>4.18</v>
      </c>
      <c r="F15" s="4">
        <v>4.8600000000000003</v>
      </c>
      <c r="G15" s="4">
        <v>4.55</v>
      </c>
      <c r="H15" s="4">
        <v>2.4500000000000002</v>
      </c>
      <c r="I15" s="4">
        <v>4.3499999999999996</v>
      </c>
      <c r="J15" s="4">
        <v>3.23</v>
      </c>
      <c r="K15" s="4">
        <v>1.7</v>
      </c>
      <c r="L15" s="4">
        <v>1.6</v>
      </c>
      <c r="M15" s="4">
        <v>1.25</v>
      </c>
      <c r="N15" s="4">
        <v>1.33</v>
      </c>
      <c r="O15" s="4">
        <v>1.2</v>
      </c>
      <c r="P15" s="4">
        <v>1.69</v>
      </c>
      <c r="Q15" s="4">
        <v>2.36</v>
      </c>
      <c r="R15" s="4">
        <v>2.08</v>
      </c>
      <c r="S15" s="4">
        <v>3.82</v>
      </c>
      <c r="T15" s="4">
        <v>1.58</v>
      </c>
      <c r="U15" s="4">
        <v>1.71</v>
      </c>
      <c r="V15" s="4">
        <v>2.11</v>
      </c>
      <c r="W15" s="4">
        <v>2.1</v>
      </c>
      <c r="X15" s="4">
        <v>2.13</v>
      </c>
      <c r="Y15" s="4">
        <v>1.9</v>
      </c>
      <c r="Z15" s="4">
        <v>1.48</v>
      </c>
      <c r="AA15" s="4">
        <v>1.24</v>
      </c>
      <c r="AB15" s="4">
        <v>1.37</v>
      </c>
      <c r="AC15" s="4">
        <v>1.31</v>
      </c>
      <c r="AD15" s="4">
        <v>4.38</v>
      </c>
      <c r="AE15" s="4">
        <v>2.2599999999999998</v>
      </c>
    </row>
    <row r="16" spans="1:31">
      <c r="A16" s="93" t="s">
        <v>15</v>
      </c>
      <c r="B16" s="2">
        <v>0.13200000000000001</v>
      </c>
      <c r="C16" s="2">
        <v>0.60099999999999998</v>
      </c>
      <c r="D16" s="2">
        <v>0.46200000000000002</v>
      </c>
      <c r="E16" s="2">
        <v>0.25700000000000001</v>
      </c>
      <c r="F16" s="2">
        <v>0.34899999999999998</v>
      </c>
      <c r="G16" s="2">
        <v>0.42599999999999999</v>
      </c>
      <c r="H16" s="2">
        <v>0.35399999999999998</v>
      </c>
      <c r="I16" s="2">
        <v>0.372</v>
      </c>
      <c r="J16" s="2">
        <v>0.35099999999999998</v>
      </c>
      <c r="K16" s="2">
        <v>0.156</v>
      </c>
      <c r="L16" s="2">
        <v>0.16400000000000001</v>
      </c>
      <c r="M16" s="5"/>
      <c r="N16" s="2">
        <v>0.153</v>
      </c>
      <c r="O16" s="2">
        <v>0.114</v>
      </c>
      <c r="P16" s="2">
        <v>0.16900000000000001</v>
      </c>
      <c r="Q16" s="2">
        <v>0.29499999999999998</v>
      </c>
      <c r="R16" s="2">
        <v>0.253</v>
      </c>
      <c r="S16" s="2">
        <v>0.187</v>
      </c>
      <c r="T16" s="2">
        <v>0.15</v>
      </c>
      <c r="U16" s="2">
        <v>0.20399999999999999</v>
      </c>
      <c r="V16" s="2">
        <v>0.23100000000000001</v>
      </c>
      <c r="W16" s="2">
        <v>0.27700000000000002</v>
      </c>
      <c r="X16" s="2">
        <v>0.29199999999999998</v>
      </c>
      <c r="Y16" s="2">
        <v>0.25</v>
      </c>
      <c r="Z16" s="2">
        <v>0.129</v>
      </c>
      <c r="AA16" s="2">
        <v>0.13600000000000001</v>
      </c>
      <c r="AB16" s="2">
        <v>0.112</v>
      </c>
      <c r="AC16" s="2">
        <v>0.187</v>
      </c>
      <c r="AD16" s="2">
        <v>0.69599999999999995</v>
      </c>
      <c r="AE16" s="2">
        <v>0.26600000000000001</v>
      </c>
    </row>
    <row r="17" spans="1:31">
      <c r="A17" s="93" t="s">
        <v>16</v>
      </c>
      <c r="B17" s="4">
        <v>0.28799999999999998</v>
      </c>
      <c r="C17" s="4">
        <v>1.3</v>
      </c>
      <c r="D17" s="4">
        <v>0.94499999999999995</v>
      </c>
      <c r="E17" s="4">
        <v>0.75700000000000001</v>
      </c>
      <c r="F17" s="4">
        <v>1</v>
      </c>
      <c r="G17" s="4">
        <v>0.627</v>
      </c>
      <c r="H17" s="4">
        <v>0.34699999999999998</v>
      </c>
      <c r="I17" s="4">
        <v>0.55700000000000005</v>
      </c>
      <c r="J17" s="3"/>
      <c r="K17" s="4">
        <v>0.124</v>
      </c>
      <c r="L17" s="4">
        <v>0.14199999999999999</v>
      </c>
      <c r="M17" s="4">
        <v>0.32</v>
      </c>
      <c r="N17" s="4">
        <v>5.9899999999999997E-3</v>
      </c>
      <c r="O17" s="4">
        <v>0.24199999999999999</v>
      </c>
      <c r="P17" s="4">
        <v>0.219</v>
      </c>
      <c r="Q17" s="4">
        <v>0.152</v>
      </c>
      <c r="R17" s="4">
        <v>0.26</v>
      </c>
      <c r="S17" s="4">
        <v>0.93400000000000005</v>
      </c>
      <c r="T17" s="4">
        <v>0.443</v>
      </c>
      <c r="U17" s="4">
        <v>0.54400000000000004</v>
      </c>
      <c r="V17" s="4">
        <v>0.502</v>
      </c>
      <c r="W17" s="4">
        <v>0.46600000000000003</v>
      </c>
      <c r="X17" s="4">
        <v>0.38900000000000001</v>
      </c>
      <c r="Y17" s="4">
        <v>0.219</v>
      </c>
      <c r="Z17" s="4">
        <v>0.56599999999999995</v>
      </c>
      <c r="AA17" s="4">
        <v>0.376</v>
      </c>
      <c r="AB17" s="4">
        <v>0.28799999999999998</v>
      </c>
      <c r="AC17" s="4">
        <v>0.82499999999999996</v>
      </c>
      <c r="AD17" s="4">
        <v>1.45</v>
      </c>
      <c r="AE17" s="4">
        <v>0.55400000000000005</v>
      </c>
    </row>
    <row r="18" spans="1:31">
      <c r="A18" s="93" t="s">
        <v>17</v>
      </c>
      <c r="B18" s="2">
        <v>0.16500000000000001</v>
      </c>
      <c r="C18" s="2">
        <v>0.49</v>
      </c>
      <c r="D18" s="2">
        <v>0.61</v>
      </c>
      <c r="E18" s="2">
        <v>0.53</v>
      </c>
      <c r="F18" s="2">
        <v>0.38300000000000001</v>
      </c>
      <c r="G18" s="2">
        <v>0.66700000000000004</v>
      </c>
      <c r="H18" s="2">
        <v>0.24199999999999999</v>
      </c>
      <c r="I18" s="2">
        <v>0.33900000000000002</v>
      </c>
      <c r="J18" s="2">
        <v>0.54100000000000004</v>
      </c>
      <c r="K18" s="2">
        <v>0.26200000000000001</v>
      </c>
      <c r="L18" s="2">
        <v>0.33800000000000002</v>
      </c>
      <c r="M18" s="2">
        <v>0.16200000000000001</v>
      </c>
      <c r="N18" s="2">
        <v>0.17199999999999999</v>
      </c>
      <c r="O18" s="2">
        <v>4.45E-3</v>
      </c>
      <c r="P18" s="2">
        <v>0.34300000000000003</v>
      </c>
      <c r="Q18" s="2">
        <v>0.27600000000000002</v>
      </c>
      <c r="R18" s="2">
        <v>0.34300000000000003</v>
      </c>
      <c r="S18" s="2">
        <v>0.154</v>
      </c>
      <c r="T18" s="2">
        <v>0.223</v>
      </c>
      <c r="U18" s="2">
        <v>0.23699999999999999</v>
      </c>
      <c r="V18" s="2">
        <v>0.377</v>
      </c>
      <c r="W18" s="2">
        <v>0.224</v>
      </c>
      <c r="X18" s="2">
        <v>0.39700000000000002</v>
      </c>
      <c r="Y18" s="2">
        <v>0.32300000000000001</v>
      </c>
      <c r="Z18" s="2">
        <v>0.34499999999999997</v>
      </c>
      <c r="AA18" s="2">
        <v>0.18099999999999999</v>
      </c>
      <c r="AB18" s="2">
        <v>0.23899999999999999</v>
      </c>
      <c r="AC18" s="2">
        <v>0.155</v>
      </c>
      <c r="AD18" s="2">
        <v>0.56499999999999995</v>
      </c>
      <c r="AE18" s="2">
        <v>0.44900000000000001</v>
      </c>
    </row>
    <row r="19" spans="1:31">
      <c r="A19" s="93" t="s">
        <v>18</v>
      </c>
      <c r="B19" s="4">
        <v>3.2000000000000001E-2</v>
      </c>
      <c r="C19" s="4">
        <v>0.14299999999999999</v>
      </c>
      <c r="D19" s="4">
        <v>0.16500000000000001</v>
      </c>
      <c r="E19" s="4">
        <v>0.111</v>
      </c>
      <c r="F19" s="4">
        <v>0.106</v>
      </c>
      <c r="G19" s="4">
        <v>0.10299999999999999</v>
      </c>
      <c r="H19" s="4">
        <v>0.152</v>
      </c>
      <c r="I19" s="4">
        <v>0.17799999999999999</v>
      </c>
      <c r="J19" s="4">
        <v>0.219</v>
      </c>
      <c r="K19" s="4">
        <v>7.7399999999999997E-2</v>
      </c>
      <c r="L19" s="4">
        <v>6.6699999999999995E-2</v>
      </c>
      <c r="M19" s="4">
        <v>4.1399999999999999E-2</v>
      </c>
      <c r="N19" s="4">
        <v>3.8300000000000001E-2</v>
      </c>
      <c r="O19" s="4">
        <v>4.0500000000000001E-2</v>
      </c>
      <c r="P19" s="3"/>
      <c r="Q19" s="4">
        <v>0.19800000000000001</v>
      </c>
      <c r="R19" s="4">
        <v>7.2400000000000006E-2</v>
      </c>
      <c r="S19" s="4">
        <v>9.2799999999999994E-2</v>
      </c>
      <c r="T19" s="4">
        <v>6.1699999999999998E-2</v>
      </c>
      <c r="U19" s="4">
        <v>0.10199999999999999</v>
      </c>
      <c r="V19" s="4">
        <v>7.5499999999999998E-2</v>
      </c>
      <c r="W19" s="4">
        <v>6.4799999999999996E-2</v>
      </c>
      <c r="X19" s="4">
        <v>7.7100000000000002E-2</v>
      </c>
      <c r="Y19" s="4">
        <v>5.3800000000000001E-2</v>
      </c>
      <c r="Z19" s="4">
        <v>6.8599999999999994E-2</v>
      </c>
      <c r="AA19" s="4">
        <v>4.2799999999999998E-2</v>
      </c>
      <c r="AB19" s="4">
        <v>5.5199999999999999E-2</v>
      </c>
      <c r="AC19" s="4">
        <v>0</v>
      </c>
      <c r="AD19" s="4">
        <v>0.13600000000000001</v>
      </c>
      <c r="AE19" s="4">
        <v>0.155</v>
      </c>
    </row>
    <row r="20" spans="1:31">
      <c r="A20" s="93" t="s">
        <v>19</v>
      </c>
      <c r="B20" s="2">
        <v>9.0800000000000006E-2</v>
      </c>
      <c r="C20" s="2">
        <v>0.129</v>
      </c>
      <c r="D20" s="2">
        <v>0.14699999999999999</v>
      </c>
      <c r="E20" s="2">
        <v>0.16200000000000001</v>
      </c>
      <c r="F20" s="2">
        <v>0.34200000000000003</v>
      </c>
      <c r="G20" s="2">
        <v>0.221</v>
      </c>
      <c r="H20" s="2">
        <v>0.154</v>
      </c>
      <c r="I20" s="2">
        <v>0.19</v>
      </c>
      <c r="J20" s="2">
        <v>0.17799999999999999</v>
      </c>
      <c r="K20" s="2">
        <v>7.9600000000000004E-2</v>
      </c>
      <c r="L20" s="2">
        <v>6.93E-2</v>
      </c>
      <c r="M20" s="2">
        <v>8.7599999999999997E-2</v>
      </c>
      <c r="N20" s="2">
        <v>9.6100000000000005E-2</v>
      </c>
      <c r="O20" s="2">
        <v>8.7999999999999995E-2</v>
      </c>
      <c r="P20" s="2">
        <v>8.7499999999999994E-2</v>
      </c>
      <c r="Q20" s="2">
        <v>1.6899999999999998E-2</v>
      </c>
      <c r="R20" s="2">
        <v>0.107</v>
      </c>
      <c r="S20" s="2">
        <v>9.5399999999999999E-2</v>
      </c>
      <c r="T20" s="2">
        <v>0.10199999999999999</v>
      </c>
      <c r="U20" s="2">
        <v>9.9599999999999994E-2</v>
      </c>
      <c r="V20" s="2">
        <v>0.13300000000000001</v>
      </c>
      <c r="W20" s="2">
        <v>0.123</v>
      </c>
      <c r="X20" s="2">
        <v>0.13100000000000001</v>
      </c>
      <c r="Y20" s="2">
        <v>0.125</v>
      </c>
      <c r="Z20" s="2">
        <v>9.9599999999999994E-2</v>
      </c>
      <c r="AA20" s="2">
        <v>9.2700000000000005E-2</v>
      </c>
      <c r="AB20" s="2">
        <v>6.4100000000000004E-2</v>
      </c>
      <c r="AC20" s="2">
        <v>8.6599999999999996E-2</v>
      </c>
      <c r="AD20" s="2">
        <v>0.38800000000000001</v>
      </c>
      <c r="AE20" s="2">
        <v>0.183</v>
      </c>
    </row>
    <row r="21" spans="1:31">
      <c r="A21" s="93" t="s">
        <v>20</v>
      </c>
      <c r="B21" s="4">
        <v>7.8600000000000003E-2</v>
      </c>
      <c r="C21" s="4">
        <v>0.443</v>
      </c>
      <c r="D21" s="4">
        <v>0.88200000000000001</v>
      </c>
      <c r="E21" s="4">
        <v>0.81599999999999995</v>
      </c>
      <c r="F21" s="4">
        <v>0.88400000000000001</v>
      </c>
      <c r="G21" s="4">
        <v>0.69099999999999995</v>
      </c>
      <c r="H21" s="4">
        <v>0.318</v>
      </c>
      <c r="I21" s="4">
        <v>0.48</v>
      </c>
      <c r="J21" s="4">
        <v>0.38700000000000001</v>
      </c>
      <c r="K21" s="4">
        <v>0.42099999999999999</v>
      </c>
      <c r="L21" s="4">
        <v>0.40300000000000002</v>
      </c>
      <c r="M21" s="4">
        <v>0.1</v>
      </c>
      <c r="N21" s="4">
        <v>8.9200000000000002E-2</v>
      </c>
      <c r="O21" s="4">
        <v>7.5399999999999995E-2</v>
      </c>
      <c r="P21" s="4">
        <v>0.32800000000000001</v>
      </c>
      <c r="Q21" s="4">
        <v>0.32500000000000001</v>
      </c>
      <c r="R21" s="3"/>
      <c r="S21" s="4">
        <v>0.26300000000000001</v>
      </c>
      <c r="T21" s="4">
        <v>7.9200000000000007E-2</v>
      </c>
      <c r="U21" s="4">
        <v>0.11</v>
      </c>
      <c r="V21" s="4">
        <v>0.115</v>
      </c>
      <c r="W21" s="4">
        <v>0.13300000000000001</v>
      </c>
      <c r="X21" s="4">
        <v>0.126</v>
      </c>
      <c r="Y21" s="4">
        <v>0.105</v>
      </c>
      <c r="Z21" s="4">
        <v>8.8800000000000004E-2</v>
      </c>
      <c r="AA21" s="4">
        <v>6.3500000000000001E-2</v>
      </c>
      <c r="AB21" s="4">
        <v>0.25600000000000001</v>
      </c>
      <c r="AC21" s="4">
        <v>0.36499999999999999</v>
      </c>
      <c r="AD21" s="4">
        <v>0.88600000000000001</v>
      </c>
      <c r="AE21" s="4">
        <v>0.36599999999999999</v>
      </c>
    </row>
    <row r="22" spans="1:31">
      <c r="A22" s="93" t="s">
        <v>21</v>
      </c>
      <c r="B22" s="2">
        <v>4.3299999999999998E-2</v>
      </c>
      <c r="C22" s="2">
        <v>0.113</v>
      </c>
      <c r="D22" s="2">
        <v>0.14499999999999999</v>
      </c>
      <c r="E22" s="2">
        <v>9.0800000000000006E-2</v>
      </c>
      <c r="F22" s="2">
        <v>0.186</v>
      </c>
      <c r="G22" s="2">
        <v>0.10100000000000001</v>
      </c>
      <c r="H22" s="2">
        <v>4.65E-2</v>
      </c>
      <c r="I22" s="2">
        <v>0.129</v>
      </c>
      <c r="J22" s="2">
        <v>0.17100000000000001</v>
      </c>
      <c r="K22" s="2">
        <v>0.123</v>
      </c>
      <c r="L22" s="2">
        <v>8.6199999999999999E-2</v>
      </c>
      <c r="M22" s="2">
        <v>4.99E-2</v>
      </c>
      <c r="N22" s="2">
        <v>4.5699999999999998E-2</v>
      </c>
      <c r="O22" s="2">
        <v>4.2900000000000001E-2</v>
      </c>
      <c r="P22" s="2">
        <v>0.121</v>
      </c>
      <c r="Q22" s="2">
        <v>3.8399999999999997E-2</v>
      </c>
      <c r="R22" s="2">
        <v>7.22E-2</v>
      </c>
      <c r="S22" s="2">
        <v>5.3800000000000002E-3</v>
      </c>
      <c r="T22" s="2">
        <v>5.5599999999999997E-2</v>
      </c>
      <c r="U22" s="2">
        <v>7.2599999999999998E-2</v>
      </c>
      <c r="V22" s="2">
        <v>6.4199999999999993E-2</v>
      </c>
      <c r="W22" s="2">
        <v>8.8499999999999995E-2</v>
      </c>
      <c r="X22" s="2">
        <v>8.5300000000000001E-2</v>
      </c>
      <c r="Y22" s="2">
        <v>7.0599999999999996E-2</v>
      </c>
      <c r="Z22" s="2">
        <v>3.5700000000000003E-2</v>
      </c>
      <c r="AA22" s="2">
        <v>5.1900000000000002E-2</v>
      </c>
      <c r="AB22" s="2">
        <v>5.9499999999999997E-2</v>
      </c>
      <c r="AC22" s="2">
        <v>5.0799999999999998E-2</v>
      </c>
      <c r="AD22" s="2">
        <v>0.30299999999999999</v>
      </c>
      <c r="AE22" s="2">
        <v>9.7000000000000003E-2</v>
      </c>
    </row>
    <row r="23" spans="1:31">
      <c r="A23" s="93" t="s">
        <v>22</v>
      </c>
      <c r="B23" s="4">
        <v>2.35E-2</v>
      </c>
      <c r="C23" s="4">
        <v>0.121</v>
      </c>
      <c r="D23" s="4">
        <v>6.0699999999999997E-2</v>
      </c>
      <c r="E23" s="4">
        <v>4.5499999999999999E-2</v>
      </c>
      <c r="F23" s="4">
        <v>7.6899999999999996E-2</v>
      </c>
      <c r="G23" s="4">
        <v>0.11</v>
      </c>
      <c r="H23" s="4">
        <v>0.108</v>
      </c>
      <c r="I23" s="4">
        <v>6.2399999999999997E-2</v>
      </c>
      <c r="J23" s="3"/>
      <c r="K23" s="4">
        <v>6.4999999999999997E-3</v>
      </c>
      <c r="L23" s="4">
        <v>8.8000000000000005E-3</v>
      </c>
      <c r="M23" s="4">
        <v>2.4E-2</v>
      </c>
      <c r="N23" s="4">
        <v>1.72E-2</v>
      </c>
      <c r="O23" s="4">
        <v>1.9400000000000001E-2</v>
      </c>
      <c r="P23" s="4">
        <v>2.01E-2</v>
      </c>
      <c r="Q23" s="4">
        <v>0.13300000000000001</v>
      </c>
      <c r="R23" s="4">
        <v>2.3E-2</v>
      </c>
      <c r="S23" s="4">
        <v>6.1400000000000003E-2</v>
      </c>
      <c r="T23" s="3"/>
      <c r="U23" s="4">
        <v>3.6900000000000002E-2</v>
      </c>
      <c r="V23" s="4">
        <v>3.8800000000000001E-2</v>
      </c>
      <c r="W23" s="4">
        <v>2.46E-2</v>
      </c>
      <c r="X23" s="4">
        <v>2.6800000000000001E-2</v>
      </c>
      <c r="Y23" s="4">
        <v>1.8100000000000002E-2</v>
      </c>
      <c r="Z23" s="4">
        <v>3.4299999999999997E-2</v>
      </c>
      <c r="AA23" s="4">
        <v>2.5399999999999999E-2</v>
      </c>
      <c r="AB23" s="4">
        <v>3.95E-2</v>
      </c>
      <c r="AC23" s="4">
        <v>3.5999999999999997E-2</v>
      </c>
      <c r="AD23" s="4">
        <v>0.10299999999999999</v>
      </c>
      <c r="AE23" s="4">
        <v>0.125</v>
      </c>
    </row>
    <row r="24" spans="1:31">
      <c r="A24" s="93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2">
        <v>3.0099999999999998E-2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>
      <c r="A25" s="93" t="s">
        <v>24</v>
      </c>
      <c r="B25" s="4">
        <v>0.16300000000000001</v>
      </c>
      <c r="C25" s="4">
        <v>0.90100000000000002</v>
      </c>
      <c r="D25" s="4">
        <v>0.32700000000000001</v>
      </c>
      <c r="E25" s="4">
        <v>0.48399999999999999</v>
      </c>
      <c r="F25" s="4">
        <v>0.627</v>
      </c>
      <c r="G25" s="4">
        <v>0.624</v>
      </c>
      <c r="H25" s="4">
        <v>0.13400000000000001</v>
      </c>
      <c r="I25" s="4">
        <v>0.47399999999999998</v>
      </c>
      <c r="J25" s="4">
        <v>0.45600000000000002</v>
      </c>
      <c r="K25" s="4">
        <v>0.158</v>
      </c>
      <c r="L25" s="4">
        <v>0.28499999999999998</v>
      </c>
      <c r="M25" s="4">
        <v>0.16800000000000001</v>
      </c>
      <c r="N25" s="4">
        <v>0.20899999999999999</v>
      </c>
      <c r="O25" s="4">
        <v>0.14599999999999999</v>
      </c>
      <c r="P25" s="4">
        <v>0.17899999999999999</v>
      </c>
      <c r="Q25" s="4">
        <v>0.32</v>
      </c>
      <c r="R25" s="4">
        <v>0.3</v>
      </c>
      <c r="S25" s="4">
        <v>0.39800000000000002</v>
      </c>
      <c r="T25" s="4">
        <v>0.27400000000000002</v>
      </c>
      <c r="U25" s="4">
        <v>0.36099999999999999</v>
      </c>
      <c r="V25" s="3"/>
      <c r="W25" s="4">
        <v>0.24</v>
      </c>
      <c r="X25" s="4">
        <v>0.312</v>
      </c>
      <c r="Y25" s="4">
        <v>0.26400000000000001</v>
      </c>
      <c r="Z25" s="4">
        <v>0.29499999999999998</v>
      </c>
      <c r="AA25" s="4">
        <v>0.18</v>
      </c>
      <c r="AB25" s="4">
        <v>0.17399999999999999</v>
      </c>
      <c r="AC25" s="4">
        <v>0.56299999999999994</v>
      </c>
      <c r="AD25" s="4">
        <v>0.83799999999999997</v>
      </c>
      <c r="AE25" s="4">
        <v>0.30099999999999999</v>
      </c>
    </row>
    <row r="26" spans="1:31">
      <c r="A26" s="93" t="s">
        <v>25</v>
      </c>
      <c r="B26" s="2">
        <v>0.45300000000000001</v>
      </c>
      <c r="C26" s="2">
        <v>1.2</v>
      </c>
      <c r="D26" s="2">
        <v>4.71</v>
      </c>
      <c r="E26" s="2">
        <v>3.93</v>
      </c>
      <c r="F26" s="2">
        <v>3.23</v>
      </c>
      <c r="G26" s="2">
        <v>1.82</v>
      </c>
      <c r="H26" s="2">
        <v>0.77300000000000002</v>
      </c>
      <c r="I26" s="2">
        <v>1.0900000000000001</v>
      </c>
      <c r="J26" s="2">
        <v>0.41499999999999998</v>
      </c>
      <c r="K26" s="2">
        <v>0.94</v>
      </c>
      <c r="L26" s="2">
        <v>0.75700000000000001</v>
      </c>
      <c r="M26" s="2">
        <v>0.54500000000000004</v>
      </c>
      <c r="N26" s="2">
        <v>0.64200000000000002</v>
      </c>
      <c r="O26" s="2">
        <v>0.497</v>
      </c>
      <c r="P26" s="2">
        <v>0.92500000000000004</v>
      </c>
      <c r="Q26" s="2">
        <v>0.39600000000000002</v>
      </c>
      <c r="R26" s="2">
        <v>0.67800000000000005</v>
      </c>
      <c r="S26" s="2">
        <v>0.63400000000000001</v>
      </c>
      <c r="T26" s="2">
        <v>0.65200000000000002</v>
      </c>
      <c r="U26" s="2">
        <v>0.67600000000000005</v>
      </c>
      <c r="V26" s="2">
        <v>0.98399999999999999</v>
      </c>
      <c r="W26" s="5"/>
      <c r="X26" s="2">
        <v>1.56</v>
      </c>
      <c r="Y26" s="2">
        <v>0.66400000000000003</v>
      </c>
      <c r="Z26" s="2">
        <v>0.59099999999999997</v>
      </c>
      <c r="AA26" s="2">
        <v>0.48099999999999998</v>
      </c>
      <c r="AB26" s="2">
        <v>0.58299999999999996</v>
      </c>
      <c r="AC26" s="2">
        <v>0.41499999999999998</v>
      </c>
      <c r="AD26" s="2">
        <v>1.23</v>
      </c>
      <c r="AE26" s="2">
        <v>0.63</v>
      </c>
    </row>
    <row r="27" spans="1:31">
      <c r="A27" s="93" t="s">
        <v>26</v>
      </c>
      <c r="B27" s="4">
        <v>0.155</v>
      </c>
      <c r="C27" s="4">
        <v>0.31</v>
      </c>
      <c r="D27" s="4">
        <v>0.36199999999999999</v>
      </c>
      <c r="E27" s="4">
        <v>0.376</v>
      </c>
      <c r="F27" s="4">
        <v>0.30599999999999999</v>
      </c>
      <c r="G27" s="4">
        <v>0.28399999999999997</v>
      </c>
      <c r="H27" s="4">
        <v>0.57999999999999996</v>
      </c>
      <c r="I27" s="4">
        <v>0.59699999999999998</v>
      </c>
      <c r="J27" s="4">
        <v>0.71899999999999997</v>
      </c>
      <c r="K27" s="4">
        <v>0.25</v>
      </c>
      <c r="L27" s="4">
        <v>0.152</v>
      </c>
      <c r="M27" s="4">
        <v>0.14899999999999999</v>
      </c>
      <c r="N27" s="4">
        <v>0.14899999999999999</v>
      </c>
      <c r="O27" s="4">
        <v>0.156</v>
      </c>
      <c r="P27" s="4">
        <v>0.22900000000000001</v>
      </c>
      <c r="Q27" s="4">
        <v>0.52700000000000002</v>
      </c>
      <c r="R27" s="4">
        <v>0.30199999999999999</v>
      </c>
      <c r="S27" s="4">
        <v>0.51300000000000001</v>
      </c>
      <c r="T27" s="4">
        <v>0.34399999999999997</v>
      </c>
      <c r="U27" s="4">
        <v>0.30099999999999999</v>
      </c>
      <c r="V27" s="4">
        <v>0.317</v>
      </c>
      <c r="W27" s="4">
        <v>0.22</v>
      </c>
      <c r="X27" s="3"/>
      <c r="Y27" s="4">
        <v>0.23400000000000001</v>
      </c>
      <c r="Z27" s="4">
        <v>0.312</v>
      </c>
      <c r="AA27" s="4">
        <v>0.17100000000000001</v>
      </c>
      <c r="AB27" s="4">
        <v>0.18099999999999999</v>
      </c>
      <c r="AC27" s="4">
        <v>0.15</v>
      </c>
      <c r="AD27" s="4">
        <v>0.36599999999999999</v>
      </c>
      <c r="AE27" s="4">
        <v>0.40500000000000003</v>
      </c>
    </row>
    <row r="28" spans="1:31">
      <c r="A28" s="93" t="s">
        <v>27</v>
      </c>
      <c r="B28" s="2">
        <v>0.125</v>
      </c>
      <c r="C28" s="2">
        <v>0.46700000000000003</v>
      </c>
      <c r="D28" s="2">
        <v>0.56899999999999995</v>
      </c>
      <c r="E28" s="2">
        <v>0.41099999999999998</v>
      </c>
      <c r="F28" s="2">
        <v>0.38300000000000001</v>
      </c>
      <c r="G28" s="2">
        <v>0.48299999999999998</v>
      </c>
      <c r="H28" s="2">
        <v>0.53500000000000003</v>
      </c>
      <c r="I28" s="2">
        <v>0.68600000000000005</v>
      </c>
      <c r="J28" s="2">
        <v>0.626</v>
      </c>
      <c r="K28" s="2">
        <v>0.21299999999999999</v>
      </c>
      <c r="L28" s="2">
        <v>0.222</v>
      </c>
      <c r="M28" s="2">
        <v>0.13800000000000001</v>
      </c>
      <c r="N28" s="2">
        <v>0.14199999999999999</v>
      </c>
      <c r="O28" s="2">
        <v>0.14000000000000001</v>
      </c>
      <c r="P28" s="2">
        <v>0.25600000000000001</v>
      </c>
      <c r="Q28" s="2">
        <v>0.52400000000000002</v>
      </c>
      <c r="R28" s="2">
        <v>0.214</v>
      </c>
      <c r="S28" s="2">
        <v>0.49</v>
      </c>
      <c r="T28" s="2">
        <v>0.20499999999999999</v>
      </c>
      <c r="U28" s="2">
        <v>0.30099999999999999</v>
      </c>
      <c r="V28" s="2">
        <v>0.22500000000000001</v>
      </c>
      <c r="W28" s="2">
        <v>0.18</v>
      </c>
      <c r="X28" s="2">
        <v>0.19900000000000001</v>
      </c>
      <c r="Y28" s="2">
        <v>6.9699999999999996E-3</v>
      </c>
      <c r="Z28" s="2">
        <v>0.19</v>
      </c>
      <c r="AA28" s="2">
        <v>0.127</v>
      </c>
      <c r="AB28" s="2">
        <v>0.247</v>
      </c>
      <c r="AC28" s="2">
        <v>0.503</v>
      </c>
      <c r="AD28" s="2">
        <v>0.47199999999999998</v>
      </c>
      <c r="AE28" s="2">
        <v>0.48299999999999998</v>
      </c>
    </row>
    <row r="29" spans="1:31">
      <c r="A29" s="93" t="s">
        <v>28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>
      <c r="A30" s="93" t="s">
        <v>29</v>
      </c>
      <c r="B30" s="2">
        <v>0.11600000000000001</v>
      </c>
      <c r="C30" s="2">
        <v>0.58899999999999997</v>
      </c>
      <c r="D30" s="2">
        <v>0.76700000000000002</v>
      </c>
      <c r="E30" s="2">
        <v>0.67</v>
      </c>
      <c r="F30" s="2">
        <v>0.55500000000000005</v>
      </c>
      <c r="G30" s="2">
        <v>0.626</v>
      </c>
      <c r="H30" s="2">
        <v>0.44900000000000001</v>
      </c>
      <c r="I30" s="2">
        <v>0.503</v>
      </c>
      <c r="J30" s="2">
        <v>0.60599999999999998</v>
      </c>
      <c r="K30" s="2">
        <v>0.371</v>
      </c>
      <c r="L30" s="2">
        <v>0.34499999999999997</v>
      </c>
      <c r="M30" s="2">
        <v>0.109</v>
      </c>
      <c r="N30" s="2">
        <v>0.14499999999999999</v>
      </c>
      <c r="O30" s="2">
        <v>0.11799999999999999</v>
      </c>
      <c r="P30" s="2">
        <v>0.36199999999999999</v>
      </c>
      <c r="Q30" s="2">
        <v>0.44400000000000001</v>
      </c>
      <c r="R30" s="2">
        <v>0.56399999999999995</v>
      </c>
      <c r="S30" s="2">
        <v>1.49</v>
      </c>
      <c r="T30" s="2">
        <v>0.182</v>
      </c>
      <c r="U30" s="2">
        <v>0.25800000000000001</v>
      </c>
      <c r="V30" s="2">
        <v>0.28100000000000003</v>
      </c>
      <c r="W30" s="2">
        <v>0.443</v>
      </c>
      <c r="X30" s="2">
        <v>0.42499999999999999</v>
      </c>
      <c r="Y30" s="2">
        <v>0.42699999999999999</v>
      </c>
      <c r="Z30" s="2">
        <v>0.26300000000000001</v>
      </c>
      <c r="AA30" s="2">
        <v>0.126</v>
      </c>
      <c r="AB30" s="2">
        <v>0.28000000000000003</v>
      </c>
      <c r="AC30" s="2">
        <v>9.9299999999999999E-2</v>
      </c>
      <c r="AD30" s="2">
        <v>0.65500000000000003</v>
      </c>
      <c r="AE30" s="2">
        <v>0.52500000000000002</v>
      </c>
    </row>
    <row r="31" spans="1:31">
      <c r="A31" s="93" t="s">
        <v>30</v>
      </c>
      <c r="B31" s="4">
        <v>1.9</v>
      </c>
      <c r="C31" s="4">
        <v>2.34</v>
      </c>
      <c r="D31" s="4">
        <v>3.23</v>
      </c>
      <c r="E31" s="4">
        <v>2.56</v>
      </c>
      <c r="F31" s="4">
        <v>2.82</v>
      </c>
      <c r="G31" s="4">
        <v>2.4500000000000002</v>
      </c>
      <c r="H31" s="4">
        <v>1.01</v>
      </c>
      <c r="I31" s="4">
        <v>1.31</v>
      </c>
      <c r="J31" s="4">
        <v>1.04</v>
      </c>
      <c r="K31" s="4">
        <v>1.7</v>
      </c>
      <c r="L31" s="4">
        <v>1.69</v>
      </c>
      <c r="M31" s="4">
        <v>1.36</v>
      </c>
      <c r="N31" s="4">
        <v>1.66</v>
      </c>
      <c r="O31" s="4">
        <v>1.71</v>
      </c>
      <c r="P31" s="4">
        <v>1.42</v>
      </c>
      <c r="Q31" s="4">
        <v>0.92600000000000005</v>
      </c>
      <c r="R31" s="4">
        <v>2.41</v>
      </c>
      <c r="S31" s="4">
        <v>1.63</v>
      </c>
      <c r="T31" s="4">
        <v>1.84</v>
      </c>
      <c r="U31" s="4">
        <v>2.5</v>
      </c>
      <c r="V31" s="4">
        <v>2.86</v>
      </c>
      <c r="W31" s="4">
        <v>2.44</v>
      </c>
      <c r="X31" s="4">
        <v>2.56</v>
      </c>
      <c r="Y31" s="4">
        <v>2.1800000000000002</v>
      </c>
      <c r="Z31" s="4">
        <v>2.1800000000000002</v>
      </c>
      <c r="AA31" s="4">
        <v>1.55</v>
      </c>
      <c r="AB31" s="4">
        <v>1.42</v>
      </c>
      <c r="AC31" s="4">
        <v>3.2</v>
      </c>
      <c r="AD31" s="4">
        <v>3.37</v>
      </c>
      <c r="AE31" s="4">
        <v>1.01</v>
      </c>
    </row>
    <row r="32" spans="1:31">
      <c r="A32" s="93" t="s">
        <v>31</v>
      </c>
      <c r="B32" s="2">
        <v>0.66300000000000003</v>
      </c>
      <c r="C32" s="2">
        <v>0.90700000000000003</v>
      </c>
      <c r="D32" s="2">
        <v>1.08</v>
      </c>
      <c r="E32" s="2">
        <v>0.88900000000000001</v>
      </c>
      <c r="F32" s="2">
        <v>1.17</v>
      </c>
      <c r="G32" s="2">
        <v>1.18</v>
      </c>
      <c r="H32" s="2">
        <v>0.52</v>
      </c>
      <c r="I32" s="2">
        <v>0.65600000000000003</v>
      </c>
      <c r="J32" s="2">
        <v>0.42</v>
      </c>
      <c r="K32" s="2">
        <v>0.83299999999999996</v>
      </c>
      <c r="L32" s="2">
        <v>0.748</v>
      </c>
      <c r="M32" s="2">
        <v>0.59</v>
      </c>
      <c r="N32" s="2">
        <v>0.629</v>
      </c>
      <c r="O32" s="2">
        <v>0.63500000000000001</v>
      </c>
      <c r="P32" s="2">
        <v>0.749</v>
      </c>
      <c r="Q32" s="2">
        <v>0.502</v>
      </c>
      <c r="R32" s="2">
        <v>0.755</v>
      </c>
      <c r="S32" s="2">
        <v>0.60499999999999998</v>
      </c>
      <c r="T32" s="2">
        <v>0.58899999999999997</v>
      </c>
      <c r="U32" s="2">
        <v>0.621</v>
      </c>
      <c r="V32" s="2">
        <v>0.78400000000000003</v>
      </c>
      <c r="W32" s="2">
        <v>0.74399999999999999</v>
      </c>
      <c r="X32" s="2">
        <v>0.81100000000000005</v>
      </c>
      <c r="Y32" s="2">
        <v>0.73499999999999999</v>
      </c>
      <c r="Z32" s="2">
        <v>0.52200000000000002</v>
      </c>
      <c r="AA32" s="2">
        <v>0.624</v>
      </c>
      <c r="AB32" s="2">
        <v>0.65400000000000003</v>
      </c>
      <c r="AC32" s="2">
        <v>0.60499999999999998</v>
      </c>
      <c r="AD32" s="2">
        <v>1.23</v>
      </c>
      <c r="AE32" s="2">
        <v>0.51700000000000002</v>
      </c>
    </row>
    <row r="33" spans="1:31">
      <c r="A33" s="93" t="s">
        <v>32</v>
      </c>
      <c r="B33" s="4">
        <v>2.61</v>
      </c>
      <c r="C33" s="4">
        <v>4.18</v>
      </c>
      <c r="D33" s="4">
        <v>3.44</v>
      </c>
      <c r="E33" s="4">
        <v>3.49</v>
      </c>
      <c r="F33" s="4">
        <v>3.65</v>
      </c>
      <c r="G33" s="4">
        <v>3.48</v>
      </c>
      <c r="H33" s="4">
        <v>1.68</v>
      </c>
      <c r="I33" s="4">
        <v>2.16</v>
      </c>
      <c r="J33" s="4">
        <v>2.52</v>
      </c>
      <c r="K33" s="4">
        <v>1.44</v>
      </c>
      <c r="L33" s="4">
        <v>2.98</v>
      </c>
      <c r="M33" s="4">
        <v>2.2400000000000002</v>
      </c>
      <c r="N33" s="4">
        <v>2.34</v>
      </c>
      <c r="O33" s="4">
        <v>2.12</v>
      </c>
      <c r="P33" s="4">
        <v>2.4900000000000002</v>
      </c>
      <c r="Q33" s="4">
        <v>3.17</v>
      </c>
      <c r="R33" s="4">
        <v>3.1</v>
      </c>
      <c r="S33" s="4">
        <v>2.44</v>
      </c>
      <c r="T33" s="4">
        <v>2.99</v>
      </c>
      <c r="U33" s="4">
        <v>3.42</v>
      </c>
      <c r="V33" s="4">
        <v>3.34</v>
      </c>
      <c r="W33" s="4">
        <v>3.06</v>
      </c>
      <c r="X33" s="4">
        <v>3.81</v>
      </c>
      <c r="Y33" s="4">
        <v>3.71</v>
      </c>
      <c r="Z33" s="4">
        <v>2.11</v>
      </c>
      <c r="AA33" s="4">
        <v>2.57</v>
      </c>
      <c r="AB33" s="4">
        <v>2.36</v>
      </c>
      <c r="AC33" s="4">
        <v>2.82</v>
      </c>
      <c r="AD33" s="4">
        <v>5.13</v>
      </c>
      <c r="AE33" s="4">
        <v>2.87</v>
      </c>
    </row>
    <row r="34" spans="1:31">
      <c r="A34" s="93" t="s">
        <v>33</v>
      </c>
      <c r="B34" s="2">
        <v>1.18</v>
      </c>
      <c r="C34" s="2">
        <v>1.93</v>
      </c>
      <c r="D34" s="2">
        <v>0.99</v>
      </c>
      <c r="E34" s="2">
        <v>0.35899999999999999</v>
      </c>
      <c r="F34" s="2">
        <v>0.85199999999999998</v>
      </c>
      <c r="G34" s="2">
        <v>1.64</v>
      </c>
      <c r="H34" s="2">
        <v>2.1800000000000002</v>
      </c>
      <c r="I34" s="2">
        <v>2.84</v>
      </c>
      <c r="J34" s="2">
        <v>9.8199999999999996E-2</v>
      </c>
      <c r="K34" s="2">
        <v>0.495</v>
      </c>
      <c r="L34" s="2">
        <v>0.55900000000000005</v>
      </c>
      <c r="M34" s="2">
        <v>0.75900000000000001</v>
      </c>
      <c r="N34" s="2">
        <v>0.74299999999999999</v>
      </c>
      <c r="O34" s="2">
        <v>0.74099999999999999</v>
      </c>
      <c r="P34" s="2">
        <v>0.70299999999999996</v>
      </c>
      <c r="Q34" s="2">
        <v>2</v>
      </c>
      <c r="R34" s="2">
        <v>0.67600000000000005</v>
      </c>
      <c r="S34" s="2">
        <v>1</v>
      </c>
      <c r="T34" s="2">
        <v>0.92800000000000005</v>
      </c>
      <c r="U34" s="2">
        <v>1.1200000000000001</v>
      </c>
      <c r="V34" s="2">
        <v>1.17</v>
      </c>
      <c r="W34" s="2">
        <v>0.68</v>
      </c>
      <c r="X34" s="2">
        <v>0.80200000000000005</v>
      </c>
      <c r="Y34" s="2">
        <v>0.65800000000000003</v>
      </c>
      <c r="Z34" s="2">
        <v>0.92900000000000005</v>
      </c>
      <c r="AA34" s="2">
        <v>1.1299999999999999</v>
      </c>
      <c r="AB34" s="2">
        <v>0.69399999999999995</v>
      </c>
      <c r="AC34" s="2">
        <v>0.48</v>
      </c>
      <c r="AD34" s="2">
        <v>1.57</v>
      </c>
      <c r="AE34" s="2">
        <v>2.85</v>
      </c>
    </row>
    <row r="35" spans="1:31">
      <c r="A35" s="93" t="s">
        <v>34</v>
      </c>
      <c r="B35" s="4">
        <v>0.47399999999999998</v>
      </c>
      <c r="C35" s="4">
        <v>0.77500000000000002</v>
      </c>
      <c r="D35" s="4">
        <v>1.41</v>
      </c>
      <c r="E35" s="4">
        <v>1.7</v>
      </c>
      <c r="F35" s="4">
        <v>1.48</v>
      </c>
      <c r="G35" s="4">
        <v>0.89900000000000002</v>
      </c>
      <c r="H35" s="4">
        <v>0.66300000000000003</v>
      </c>
      <c r="I35" s="4">
        <v>0.95799999999999996</v>
      </c>
      <c r="J35" s="4">
        <v>0.91400000000000003</v>
      </c>
      <c r="K35" s="4">
        <v>0.69099999999999995</v>
      </c>
      <c r="L35" s="4">
        <v>0.79900000000000004</v>
      </c>
      <c r="M35" s="4">
        <v>0.36599999999999999</v>
      </c>
      <c r="N35" s="4">
        <v>0.30199999999999999</v>
      </c>
      <c r="O35" s="4">
        <v>0.34799999999999998</v>
      </c>
      <c r="P35" s="4">
        <v>0.90500000000000003</v>
      </c>
      <c r="Q35" s="4">
        <v>0.64600000000000002</v>
      </c>
      <c r="R35" s="4">
        <v>0.85599999999999998</v>
      </c>
      <c r="S35" s="4">
        <v>1.01</v>
      </c>
      <c r="T35" s="4">
        <v>0.58199999999999996</v>
      </c>
      <c r="U35" s="4">
        <v>0.61899999999999999</v>
      </c>
      <c r="V35" s="4">
        <v>0.71499999999999997</v>
      </c>
      <c r="W35" s="4">
        <v>0.63300000000000001</v>
      </c>
      <c r="X35" s="4">
        <v>0.72799999999999998</v>
      </c>
      <c r="Y35" s="4">
        <v>0.72099999999999997</v>
      </c>
      <c r="Z35" s="4">
        <v>0.504</v>
      </c>
      <c r="AA35" s="4">
        <v>0.51</v>
      </c>
      <c r="AB35" s="4">
        <v>0.38300000000000001</v>
      </c>
      <c r="AC35" s="4">
        <v>0.40799999999999997</v>
      </c>
      <c r="AD35" s="4">
        <v>1.02</v>
      </c>
      <c r="AE35" s="4">
        <v>0.439</v>
      </c>
    </row>
    <row r="36" spans="1:31">
      <c r="A36" s="93" t="s">
        <v>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>
      <c r="A37" s="93" t="s">
        <v>36</v>
      </c>
      <c r="B37" s="4">
        <v>2.17</v>
      </c>
      <c r="C37" s="4">
        <v>1.95</v>
      </c>
      <c r="D37" s="4">
        <v>1.05</v>
      </c>
      <c r="E37" s="4">
        <v>1.19</v>
      </c>
      <c r="F37" s="4">
        <v>1.05</v>
      </c>
      <c r="G37" s="4">
        <v>1.35</v>
      </c>
      <c r="H37" s="4">
        <v>1.88</v>
      </c>
      <c r="I37" s="4">
        <v>1.97</v>
      </c>
      <c r="J37" s="4">
        <v>2.19</v>
      </c>
      <c r="K37" s="4">
        <v>2.42</v>
      </c>
      <c r="L37" s="4">
        <v>2.85</v>
      </c>
      <c r="M37" s="4">
        <v>1.96</v>
      </c>
      <c r="N37" s="4">
        <v>1.96</v>
      </c>
      <c r="O37" s="4">
        <v>1.69</v>
      </c>
      <c r="P37" s="4">
        <v>3.39</v>
      </c>
      <c r="Q37" s="4">
        <v>3.19</v>
      </c>
      <c r="R37" s="4">
        <v>2.62</v>
      </c>
      <c r="S37" s="4">
        <v>3.44</v>
      </c>
      <c r="T37" s="4">
        <v>2.75</v>
      </c>
      <c r="U37" s="4">
        <v>3.48</v>
      </c>
      <c r="V37" s="4">
        <v>3.68</v>
      </c>
      <c r="W37" s="4">
        <v>2.72</v>
      </c>
      <c r="X37" s="4">
        <v>3.61</v>
      </c>
      <c r="Y37" s="4">
        <v>3.23</v>
      </c>
      <c r="Z37" s="4">
        <v>2.29</v>
      </c>
      <c r="AA37" s="4">
        <v>2.09</v>
      </c>
      <c r="AB37" s="4">
        <v>3.22</v>
      </c>
      <c r="AC37" s="4">
        <v>3.57</v>
      </c>
      <c r="AD37" s="4">
        <v>1.71</v>
      </c>
      <c r="AE37" s="4">
        <v>2.35</v>
      </c>
    </row>
    <row r="38" spans="1:31">
      <c r="A38" s="93" t="s">
        <v>37</v>
      </c>
      <c r="B38" s="5"/>
      <c r="C38" s="5"/>
      <c r="D38" s="5"/>
      <c r="E38" s="5"/>
      <c r="F38" s="5"/>
      <c r="G38" s="5"/>
      <c r="H38" s="5"/>
      <c r="I38" s="5"/>
      <c r="J38" s="5"/>
      <c r="K38" s="2">
        <v>0.14299999999999999</v>
      </c>
      <c r="L38" s="2">
        <v>0.11</v>
      </c>
      <c r="M38" s="5"/>
      <c r="N38" s="5"/>
      <c r="O38" s="5"/>
      <c r="P38" s="2">
        <v>0.16300000000000001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2">
        <v>0.105</v>
      </c>
      <c r="AC38" s="5"/>
      <c r="AD38" s="5"/>
      <c r="AE38" s="5"/>
    </row>
    <row r="39" spans="1:31">
      <c r="A39" s="93" t="s">
        <v>38</v>
      </c>
      <c r="B39" s="4">
        <v>0.86499999999999999</v>
      </c>
      <c r="C39" s="4">
        <v>1.1200000000000001</v>
      </c>
      <c r="D39" s="4">
        <v>0.62</v>
      </c>
      <c r="E39" s="4">
        <v>0.46500000000000002</v>
      </c>
      <c r="F39" s="4">
        <v>0.51800000000000002</v>
      </c>
      <c r="G39" s="4">
        <v>0.68600000000000005</v>
      </c>
      <c r="H39" s="4">
        <v>0.67800000000000005</v>
      </c>
      <c r="I39" s="4">
        <v>0.502</v>
      </c>
      <c r="J39" s="4">
        <v>0.79100000000000004</v>
      </c>
      <c r="K39" s="4">
        <v>1.38</v>
      </c>
      <c r="L39" s="4">
        <v>2.2000000000000002</v>
      </c>
      <c r="M39" s="4">
        <v>0.79800000000000004</v>
      </c>
      <c r="N39" s="4">
        <v>0.83299999999999996</v>
      </c>
      <c r="O39" s="4">
        <v>0.83099999999999996</v>
      </c>
      <c r="P39" s="4">
        <v>1.61</v>
      </c>
      <c r="Q39" s="4">
        <v>0.629</v>
      </c>
      <c r="R39" s="4">
        <v>0.41699999999999998</v>
      </c>
      <c r="S39" s="4">
        <v>0.86299999999999999</v>
      </c>
      <c r="T39" s="4">
        <v>0.72399999999999998</v>
      </c>
      <c r="U39" s="4">
        <v>1.05</v>
      </c>
      <c r="V39" s="4">
        <v>0.73199999999999998</v>
      </c>
      <c r="W39" s="4">
        <v>0.25600000000000001</v>
      </c>
      <c r="X39" s="4">
        <v>0.36199999999999999</v>
      </c>
      <c r="Y39" s="4">
        <v>0.318</v>
      </c>
      <c r="Z39" s="4">
        <v>0.82199999999999995</v>
      </c>
      <c r="AA39" s="4">
        <v>0.92400000000000004</v>
      </c>
      <c r="AB39" s="4">
        <v>1.57</v>
      </c>
      <c r="AC39" s="4">
        <v>0.98499999999999999</v>
      </c>
      <c r="AD39" s="4">
        <v>0.874</v>
      </c>
      <c r="AE39" s="4">
        <v>0.625</v>
      </c>
    </row>
    <row r="40" spans="1:31">
      <c r="A40" s="93" t="s">
        <v>39</v>
      </c>
      <c r="B40" s="2">
        <v>3.74</v>
      </c>
      <c r="C40" s="2">
        <v>7.46</v>
      </c>
      <c r="D40" s="2">
        <v>3.99</v>
      </c>
      <c r="E40" s="2">
        <v>8.32</v>
      </c>
      <c r="F40" s="2">
        <v>4.88</v>
      </c>
      <c r="G40" s="2">
        <v>4.95</v>
      </c>
      <c r="H40" s="2">
        <v>3.5</v>
      </c>
      <c r="I40" s="2">
        <v>3.83</v>
      </c>
      <c r="J40" s="2">
        <v>4.03</v>
      </c>
      <c r="K40" s="2">
        <v>3.09</v>
      </c>
      <c r="L40" s="2">
        <v>3.38</v>
      </c>
      <c r="M40" s="2">
        <v>3.46</v>
      </c>
      <c r="N40" s="2">
        <v>3.52</v>
      </c>
      <c r="O40" s="2">
        <v>3.5</v>
      </c>
      <c r="P40" s="2">
        <v>3.09</v>
      </c>
      <c r="Q40" s="2">
        <v>3.71</v>
      </c>
      <c r="R40" s="2">
        <v>4.24</v>
      </c>
      <c r="S40" s="2">
        <v>3.41</v>
      </c>
      <c r="T40" s="2">
        <v>3.74</v>
      </c>
      <c r="U40" s="2">
        <v>4.33</v>
      </c>
      <c r="V40" s="2">
        <v>4</v>
      </c>
      <c r="W40" s="2">
        <v>4.49</v>
      </c>
      <c r="X40" s="2">
        <v>5.25</v>
      </c>
      <c r="Y40" s="2">
        <v>4.78</v>
      </c>
      <c r="Z40" s="2">
        <v>2.83</v>
      </c>
      <c r="AA40" s="2">
        <v>3.31</v>
      </c>
      <c r="AB40" s="2">
        <v>3.38</v>
      </c>
      <c r="AC40" s="2">
        <v>3.21</v>
      </c>
      <c r="AD40" s="2">
        <v>5.47</v>
      </c>
      <c r="AE40" s="2">
        <v>4.08</v>
      </c>
    </row>
    <row r="41" spans="1:31">
      <c r="A41" s="93" t="s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4">
        <v>0.51100000000000001</v>
      </c>
      <c r="AD41" s="3"/>
      <c r="AE41" s="3"/>
    </row>
    <row r="42" spans="1:31">
      <c r="A42" s="93" t="s">
        <v>41</v>
      </c>
      <c r="B42" s="2">
        <v>0.69399999999999995</v>
      </c>
      <c r="C42" s="2">
        <v>1.46</v>
      </c>
      <c r="D42" s="2">
        <v>1.31</v>
      </c>
      <c r="E42" s="2">
        <v>1.08</v>
      </c>
      <c r="F42" s="2">
        <v>1.02</v>
      </c>
      <c r="G42" s="2">
        <v>1.0900000000000001</v>
      </c>
      <c r="H42" s="2">
        <v>0.70599999999999996</v>
      </c>
      <c r="I42" s="2">
        <v>0.59899999999999998</v>
      </c>
      <c r="J42" s="2">
        <v>0.93200000000000005</v>
      </c>
      <c r="K42" s="2">
        <v>0.70099999999999996</v>
      </c>
      <c r="L42" s="2">
        <v>1.25</v>
      </c>
      <c r="M42" s="2">
        <v>0.63500000000000001</v>
      </c>
      <c r="N42" s="2">
        <v>0.65700000000000003</v>
      </c>
      <c r="O42" s="2">
        <v>0.58599999999999997</v>
      </c>
      <c r="P42" s="2">
        <v>1.04</v>
      </c>
      <c r="Q42" s="2">
        <v>0.99299999999999999</v>
      </c>
      <c r="R42" s="2">
        <v>0.89100000000000001</v>
      </c>
      <c r="S42" s="2">
        <v>0.92700000000000005</v>
      </c>
      <c r="T42" s="2">
        <v>0.55300000000000005</v>
      </c>
      <c r="U42" s="2">
        <v>0.80200000000000005</v>
      </c>
      <c r="V42" s="2">
        <v>0.77600000000000002</v>
      </c>
      <c r="W42" s="2">
        <v>0.85599999999999998</v>
      </c>
      <c r="X42" s="2">
        <v>1.25</v>
      </c>
      <c r="Y42" s="2">
        <v>0.96699999999999997</v>
      </c>
      <c r="Z42" s="2">
        <v>0.56100000000000005</v>
      </c>
      <c r="AA42" s="2">
        <v>0.60699999999999998</v>
      </c>
      <c r="AB42" s="2">
        <v>0.753</v>
      </c>
      <c r="AC42" s="2">
        <v>2</v>
      </c>
      <c r="AD42" s="2">
        <v>1.47</v>
      </c>
      <c r="AE42" s="2">
        <v>0.97299999999999998</v>
      </c>
    </row>
    <row r="43" spans="1:31">
      <c r="A43" s="93" t="s">
        <v>42</v>
      </c>
      <c r="B43" s="4">
        <v>0.437</v>
      </c>
      <c r="C43" s="4">
        <v>5.2</v>
      </c>
      <c r="D43" s="4">
        <v>3.33</v>
      </c>
      <c r="E43" s="4">
        <v>2.98</v>
      </c>
      <c r="F43" s="4">
        <v>2.2400000000000002</v>
      </c>
      <c r="G43" s="4">
        <v>4.57</v>
      </c>
      <c r="H43" s="4">
        <v>2.2200000000000002</v>
      </c>
      <c r="I43" s="4">
        <v>1.69</v>
      </c>
      <c r="J43" s="4">
        <v>3.44</v>
      </c>
      <c r="K43" s="4">
        <v>0.58599999999999997</v>
      </c>
      <c r="L43" s="4">
        <v>0.73699999999999999</v>
      </c>
      <c r="M43" s="4">
        <v>0.39200000000000002</v>
      </c>
      <c r="N43" s="4">
        <v>0.45700000000000002</v>
      </c>
      <c r="O43" s="4">
        <v>0.35399999999999998</v>
      </c>
      <c r="P43" s="4">
        <v>0.86899999999999999</v>
      </c>
      <c r="Q43" s="4">
        <v>1.73</v>
      </c>
      <c r="R43" s="4">
        <v>0.55000000000000004</v>
      </c>
      <c r="S43" s="4">
        <v>0.80700000000000005</v>
      </c>
      <c r="T43" s="4">
        <v>0.55000000000000004</v>
      </c>
      <c r="U43" s="4">
        <v>0.69899999999999995</v>
      </c>
      <c r="V43" s="4">
        <v>0.63600000000000001</v>
      </c>
      <c r="W43" s="4">
        <v>0.46400000000000002</v>
      </c>
      <c r="X43" s="4">
        <v>0.64900000000000002</v>
      </c>
      <c r="Y43" s="4">
        <v>0.52700000000000002</v>
      </c>
      <c r="Z43" s="4">
        <v>0.47799999999999998</v>
      </c>
      <c r="AA43" s="4">
        <v>0.42199999999999999</v>
      </c>
      <c r="AB43" s="4">
        <v>0.60599999999999998</v>
      </c>
      <c r="AC43" s="4">
        <v>0.504</v>
      </c>
      <c r="AD43" s="4">
        <v>4.74</v>
      </c>
      <c r="AE43" s="4">
        <v>1.63</v>
      </c>
    </row>
    <row r="44" spans="1:31">
      <c r="A44" s="93" t="s">
        <v>43</v>
      </c>
      <c r="B44" s="2">
        <v>0.14699999999999999</v>
      </c>
      <c r="C44" s="2">
        <v>0.96</v>
      </c>
      <c r="D44" s="2">
        <v>0.54500000000000004</v>
      </c>
      <c r="E44" s="2">
        <v>0.70399999999999996</v>
      </c>
      <c r="F44" s="2">
        <v>0.54500000000000004</v>
      </c>
      <c r="G44" s="2">
        <v>0.99199999999999999</v>
      </c>
      <c r="H44" s="2">
        <v>0.59399999999999997</v>
      </c>
      <c r="I44" s="2">
        <v>0.45200000000000001</v>
      </c>
      <c r="J44" s="2">
        <v>0.627</v>
      </c>
      <c r="K44" s="2">
        <v>0.219</v>
      </c>
      <c r="L44" s="2">
        <v>0.26600000000000001</v>
      </c>
      <c r="M44" s="2">
        <v>0.16400000000000001</v>
      </c>
      <c r="N44" s="2">
        <v>0.14099999999999999</v>
      </c>
      <c r="O44" s="2">
        <v>0.126</v>
      </c>
      <c r="P44" s="2">
        <v>0.24399999999999999</v>
      </c>
      <c r="Q44" s="2">
        <v>0.497</v>
      </c>
      <c r="R44" s="2">
        <v>0.28599999999999998</v>
      </c>
      <c r="S44" s="2">
        <v>0.64100000000000001</v>
      </c>
      <c r="T44" s="2">
        <v>0.39</v>
      </c>
      <c r="U44" s="2">
        <v>0.52100000000000002</v>
      </c>
      <c r="V44" s="2">
        <v>0.378</v>
      </c>
      <c r="W44" s="2">
        <v>0.26100000000000001</v>
      </c>
      <c r="X44" s="2">
        <v>0.32100000000000001</v>
      </c>
      <c r="Y44" s="2">
        <v>0.27300000000000002</v>
      </c>
      <c r="Z44" s="2">
        <v>0.32800000000000001</v>
      </c>
      <c r="AA44" s="2">
        <v>0.191</v>
      </c>
      <c r="AB44" s="2">
        <v>0.246</v>
      </c>
      <c r="AC44" s="2">
        <v>0.156</v>
      </c>
      <c r="AD44" s="2">
        <v>0.67</v>
      </c>
      <c r="AE44" s="2">
        <v>0.61799999999999999</v>
      </c>
    </row>
    <row r="45" spans="1:31">
      <c r="A45" s="93" t="s">
        <v>44</v>
      </c>
      <c r="B45" s="4">
        <v>0.28299999999999997</v>
      </c>
      <c r="C45" s="4">
        <v>0.68799999999999994</v>
      </c>
      <c r="D45" s="4">
        <v>0.89900000000000002</v>
      </c>
      <c r="E45" s="4">
        <v>0.81799999999999995</v>
      </c>
      <c r="F45" s="4">
        <v>0.68799999999999994</v>
      </c>
      <c r="G45" s="4">
        <v>0.73399999999999999</v>
      </c>
      <c r="H45" s="4">
        <v>0.63200000000000001</v>
      </c>
      <c r="I45" s="4">
        <v>0.79400000000000004</v>
      </c>
      <c r="J45" s="4">
        <v>0.78800000000000003</v>
      </c>
      <c r="K45" s="4">
        <v>1.28</v>
      </c>
      <c r="L45" s="4">
        <v>1.68</v>
      </c>
      <c r="M45" s="4">
        <v>0.28599999999999998</v>
      </c>
      <c r="N45" s="4">
        <v>0.28000000000000003</v>
      </c>
      <c r="O45" s="4">
        <v>0.34</v>
      </c>
      <c r="P45" s="4">
        <v>1.35</v>
      </c>
      <c r="Q45" s="4">
        <v>0.71099999999999997</v>
      </c>
      <c r="R45" s="4">
        <v>0.72699999999999998</v>
      </c>
      <c r="S45" s="4">
        <v>1.1499999999999999</v>
      </c>
      <c r="T45" s="4">
        <v>0.69899999999999995</v>
      </c>
      <c r="U45" s="4">
        <v>0.74199999999999999</v>
      </c>
      <c r="V45" s="4">
        <v>0.74099999999999999</v>
      </c>
      <c r="W45" s="4">
        <v>0.75</v>
      </c>
      <c r="X45" s="4">
        <v>0.83599999999999997</v>
      </c>
      <c r="Y45" s="4">
        <v>0.80600000000000005</v>
      </c>
      <c r="Z45" s="4">
        <v>0.60599999999999998</v>
      </c>
      <c r="AA45" s="4">
        <v>0.34</v>
      </c>
      <c r="AB45" s="4">
        <v>1.22</v>
      </c>
      <c r="AC45" s="4">
        <v>0.45200000000000001</v>
      </c>
      <c r="AD45" s="4">
        <v>0.72299999999999998</v>
      </c>
      <c r="AE45" s="4">
        <v>0.70599999999999996</v>
      </c>
    </row>
    <row r="46" spans="1:31">
      <c r="A46" s="93" t="s">
        <v>45</v>
      </c>
      <c r="B46" s="2">
        <v>0.308</v>
      </c>
      <c r="C46" s="2">
        <v>1.75</v>
      </c>
      <c r="D46" s="2">
        <v>1.1499999999999999</v>
      </c>
      <c r="E46" s="2">
        <v>1.1200000000000001</v>
      </c>
      <c r="F46" s="2">
        <v>0.64100000000000001</v>
      </c>
      <c r="G46" s="2">
        <v>1.7</v>
      </c>
      <c r="H46" s="2">
        <v>0.78900000000000003</v>
      </c>
      <c r="I46" s="2">
        <v>1.41</v>
      </c>
      <c r="J46" s="2">
        <v>1.48</v>
      </c>
      <c r="K46" s="2">
        <v>0.85199999999999998</v>
      </c>
      <c r="L46" s="2">
        <v>0.76100000000000001</v>
      </c>
      <c r="M46" s="2">
        <v>0.371</v>
      </c>
      <c r="N46" s="2">
        <v>0.35</v>
      </c>
      <c r="O46" s="2">
        <v>0.308</v>
      </c>
      <c r="P46" s="2">
        <v>0.64400000000000002</v>
      </c>
      <c r="Q46" s="2">
        <v>1.46</v>
      </c>
      <c r="R46" s="2">
        <v>0.94799999999999995</v>
      </c>
      <c r="S46" s="2">
        <v>0.42599999999999999</v>
      </c>
      <c r="T46" s="2">
        <v>0.56899999999999995</v>
      </c>
      <c r="U46" s="2">
        <v>0.49399999999999999</v>
      </c>
      <c r="V46" s="2">
        <v>0.36099999999999999</v>
      </c>
      <c r="W46" s="2">
        <v>0.96499999999999997</v>
      </c>
      <c r="X46" s="2">
        <v>1.43</v>
      </c>
      <c r="Y46" s="2">
        <v>1.0900000000000001</v>
      </c>
      <c r="Z46" s="2">
        <v>0.34100000000000003</v>
      </c>
      <c r="AA46" s="2">
        <v>0.67</v>
      </c>
      <c r="AB46" s="2">
        <v>0.93100000000000005</v>
      </c>
      <c r="AC46" s="2">
        <v>0.73</v>
      </c>
      <c r="AD46" s="2">
        <v>3.22</v>
      </c>
      <c r="AE46" s="2">
        <v>1.08</v>
      </c>
    </row>
    <row r="47" spans="1:31">
      <c r="A47" s="93" t="s">
        <v>46</v>
      </c>
      <c r="B47" s="4">
        <v>0.14000000000000001</v>
      </c>
      <c r="C47" s="4">
        <v>0.52800000000000002</v>
      </c>
      <c r="D47" s="4">
        <v>0.69699999999999995</v>
      </c>
      <c r="E47" s="4">
        <v>0.13600000000000001</v>
      </c>
      <c r="F47" s="4">
        <v>0.34</v>
      </c>
      <c r="G47" s="4">
        <v>0.371</v>
      </c>
      <c r="H47" s="4">
        <v>0.35299999999999998</v>
      </c>
      <c r="I47" s="4">
        <v>0.36699999999999999</v>
      </c>
      <c r="J47" s="4">
        <v>0.39800000000000002</v>
      </c>
      <c r="K47" s="4">
        <v>0.25900000000000001</v>
      </c>
      <c r="L47" s="4">
        <v>0.19900000000000001</v>
      </c>
      <c r="M47" s="4">
        <v>0.11899999999999999</v>
      </c>
      <c r="N47" s="4">
        <v>0.11899999999999999</v>
      </c>
      <c r="O47" s="4">
        <v>9.9299999999999999E-2</v>
      </c>
      <c r="P47" s="4">
        <v>0.23300000000000001</v>
      </c>
      <c r="Q47" s="4">
        <v>0.42399999999999999</v>
      </c>
      <c r="R47" s="4">
        <v>0.192</v>
      </c>
      <c r="S47" s="4">
        <v>0.13900000000000001</v>
      </c>
      <c r="T47" s="4">
        <v>0.22800000000000001</v>
      </c>
      <c r="U47" s="4">
        <v>0.216</v>
      </c>
      <c r="V47" s="4">
        <v>0.33600000000000002</v>
      </c>
      <c r="W47" s="4">
        <v>0.221</v>
      </c>
      <c r="X47" s="4">
        <v>0.221</v>
      </c>
      <c r="Y47" s="4">
        <v>0.24199999999999999</v>
      </c>
      <c r="Z47" s="4">
        <v>0.17199999999999999</v>
      </c>
      <c r="AA47" s="4">
        <v>0.153</v>
      </c>
      <c r="AB47" s="4">
        <v>0.13900000000000001</v>
      </c>
      <c r="AC47" s="4">
        <v>0.18</v>
      </c>
      <c r="AD47" s="4">
        <v>0.27700000000000002</v>
      </c>
      <c r="AE47" s="4">
        <v>0.47199999999999998</v>
      </c>
    </row>
    <row r="48" spans="1:31">
      <c r="A48" s="93" t="s">
        <v>47</v>
      </c>
      <c r="B48" s="2">
        <v>0.152</v>
      </c>
      <c r="C48" s="2">
        <v>0.6</v>
      </c>
      <c r="D48" s="2">
        <v>0.17599999999999999</v>
      </c>
      <c r="E48" s="2">
        <v>0.26400000000000001</v>
      </c>
      <c r="F48" s="2">
        <v>0.28599999999999998</v>
      </c>
      <c r="G48" s="2">
        <v>0.38500000000000001</v>
      </c>
      <c r="H48" s="2">
        <v>0.38400000000000001</v>
      </c>
      <c r="I48" s="2">
        <v>0.191</v>
      </c>
      <c r="J48" s="2">
        <v>0.45200000000000001</v>
      </c>
      <c r="K48" s="2">
        <v>0.154</v>
      </c>
      <c r="L48" s="2">
        <v>0.22900000000000001</v>
      </c>
      <c r="M48" s="2">
        <v>0.13800000000000001</v>
      </c>
      <c r="N48" s="2">
        <v>0.122</v>
      </c>
      <c r="O48" s="2">
        <v>0.115</v>
      </c>
      <c r="P48" s="2">
        <v>0.27500000000000002</v>
      </c>
      <c r="Q48" s="2">
        <v>0.36099999999999999</v>
      </c>
      <c r="R48" s="2">
        <v>0.17399999999999999</v>
      </c>
      <c r="S48" s="2">
        <v>0.23</v>
      </c>
      <c r="T48" s="2">
        <v>0.13100000000000001</v>
      </c>
      <c r="U48" s="2">
        <v>0.217</v>
      </c>
      <c r="V48" s="2">
        <v>0.155</v>
      </c>
      <c r="W48" s="2">
        <v>9.4600000000000004E-2</v>
      </c>
      <c r="X48" s="2">
        <v>0.16300000000000001</v>
      </c>
      <c r="Y48" s="2">
        <v>0.12</v>
      </c>
      <c r="Z48" s="2">
        <v>0.14699999999999999</v>
      </c>
      <c r="AA48" s="2">
        <v>0.151</v>
      </c>
      <c r="AB48" s="2">
        <v>0.25</v>
      </c>
      <c r="AC48" s="2">
        <v>0.161</v>
      </c>
      <c r="AD48" s="2">
        <v>0.34899999999999998</v>
      </c>
      <c r="AE48" s="2">
        <v>0.23599999999999999</v>
      </c>
    </row>
    <row r="49" spans="1:31">
      <c r="A49" s="93" t="s">
        <v>48</v>
      </c>
      <c r="B49" s="4">
        <v>3.8699999999999998E-2</v>
      </c>
      <c r="C49" s="4">
        <v>2.3599999999999999E-2</v>
      </c>
      <c r="D49" s="4">
        <v>1.0500000000000001E-2</v>
      </c>
      <c r="E49" s="4">
        <v>1.2E-2</v>
      </c>
      <c r="F49" s="4">
        <v>8.8500000000000002E-3</v>
      </c>
      <c r="G49" s="4">
        <v>6.3400000000000001E-3</v>
      </c>
      <c r="H49" s="4">
        <v>2.7900000000000001E-2</v>
      </c>
      <c r="I49" s="4">
        <v>2.06E-2</v>
      </c>
      <c r="J49" s="4">
        <v>5.6399999999999999E-2</v>
      </c>
      <c r="K49" s="4">
        <v>4.79E-3</v>
      </c>
      <c r="L49" s="4">
        <v>5.1700000000000001E-3</v>
      </c>
      <c r="M49" s="4">
        <v>3.15E-2</v>
      </c>
      <c r="N49" s="4">
        <v>4.7399999999999998E-2</v>
      </c>
      <c r="O49" s="4">
        <v>4.53E-2</v>
      </c>
      <c r="P49" s="4">
        <v>5.8300000000000001E-3</v>
      </c>
      <c r="Q49" s="4">
        <v>5.1400000000000001E-2</v>
      </c>
      <c r="R49" s="4">
        <v>9.3500000000000007E-3</v>
      </c>
      <c r="S49" s="4">
        <v>8.4000000000000005E-2</v>
      </c>
      <c r="T49" s="4">
        <v>7.7600000000000002E-2</v>
      </c>
      <c r="U49" s="4">
        <v>8.8499999999999995E-2</v>
      </c>
      <c r="V49" s="4">
        <v>9.9099999999999994E-2</v>
      </c>
      <c r="W49" s="4">
        <v>1.0200000000000001E-2</v>
      </c>
      <c r="X49" s="4">
        <v>8.4799999999999997E-3</v>
      </c>
      <c r="Y49" s="4">
        <v>4.4299999999999999E-3</v>
      </c>
      <c r="Z49" s="4">
        <v>7.0699999999999999E-2</v>
      </c>
      <c r="AA49" s="4">
        <v>1.8100000000000002E-2</v>
      </c>
      <c r="AB49" s="4">
        <v>5.8900000000000003E-3</v>
      </c>
      <c r="AC49" s="4">
        <v>1.08E-3</v>
      </c>
      <c r="AD49" s="4">
        <v>2.2100000000000002E-2</v>
      </c>
      <c r="AE49" s="4">
        <v>1.9800000000000002E-2</v>
      </c>
    </row>
    <row r="50" spans="1:31">
      <c r="A50" s="93" t="s">
        <v>49</v>
      </c>
      <c r="B50" s="2">
        <v>0.35</v>
      </c>
      <c r="C50" s="2">
        <v>0.63900000000000001</v>
      </c>
      <c r="D50" s="2">
        <v>0.67300000000000004</v>
      </c>
      <c r="E50" s="2">
        <v>0.47199999999999998</v>
      </c>
      <c r="F50" s="2">
        <v>0.45900000000000002</v>
      </c>
      <c r="G50" s="2">
        <v>0.72399999999999998</v>
      </c>
      <c r="H50" s="2">
        <v>0.66200000000000003</v>
      </c>
      <c r="I50" s="2">
        <v>0.37</v>
      </c>
      <c r="J50" s="2">
        <v>1.1299999999999999</v>
      </c>
      <c r="K50" s="2">
        <v>0.33600000000000002</v>
      </c>
      <c r="L50" s="2">
        <v>0.29599999999999999</v>
      </c>
      <c r="M50" s="2">
        <v>0.28999999999999998</v>
      </c>
      <c r="N50" s="2">
        <v>0.311</v>
      </c>
      <c r="O50" s="2">
        <v>0.34899999999999998</v>
      </c>
      <c r="P50" s="2">
        <v>0.38100000000000001</v>
      </c>
      <c r="Q50" s="2">
        <v>0.55100000000000005</v>
      </c>
      <c r="R50" s="2">
        <v>0.32100000000000001</v>
      </c>
      <c r="S50" s="2">
        <v>0.156</v>
      </c>
      <c r="T50" s="2">
        <v>0.38800000000000001</v>
      </c>
      <c r="U50" s="2">
        <v>0.497</v>
      </c>
      <c r="V50" s="2">
        <v>0.53700000000000003</v>
      </c>
      <c r="W50" s="2">
        <v>0.28399999999999997</v>
      </c>
      <c r="X50" s="2">
        <v>0.308</v>
      </c>
      <c r="Y50" s="2">
        <v>0.36299999999999999</v>
      </c>
      <c r="Z50" s="2">
        <v>0.23400000000000001</v>
      </c>
      <c r="AA50" s="2">
        <v>0.40699999999999997</v>
      </c>
      <c r="AB50" s="2">
        <v>0.40899999999999997</v>
      </c>
      <c r="AC50" s="2">
        <v>0.36099999999999999</v>
      </c>
      <c r="AD50" s="2">
        <v>0.70899999999999996</v>
      </c>
      <c r="AE50" s="2">
        <v>0.53200000000000003</v>
      </c>
    </row>
    <row r="51" spans="1:31">
      <c r="A51" s="93" t="s">
        <v>50</v>
      </c>
      <c r="B51" s="4">
        <v>0.34399999999999997</v>
      </c>
      <c r="C51" s="3"/>
      <c r="D51" s="3"/>
      <c r="E51" s="3"/>
      <c r="F51" s="3"/>
      <c r="G51" s="3"/>
      <c r="H51" s="3"/>
      <c r="I51" s="3"/>
      <c r="J51" s="3"/>
      <c r="K51" s="4">
        <v>0.45600000000000002</v>
      </c>
      <c r="L51" s="4">
        <v>0.14799999999999999</v>
      </c>
      <c r="M51" s="4">
        <v>0.317</v>
      </c>
      <c r="N51" s="4">
        <v>0.29099999999999998</v>
      </c>
      <c r="O51" s="4">
        <v>0.315</v>
      </c>
      <c r="P51" s="4">
        <v>0.23799999999999999</v>
      </c>
      <c r="Q51" s="3"/>
      <c r="R51" s="4">
        <v>0.42099999999999999</v>
      </c>
      <c r="S51" s="4">
        <v>0.54200000000000004</v>
      </c>
      <c r="T51" s="4">
        <v>0.28799999999999998</v>
      </c>
      <c r="U51" s="4">
        <v>0.33600000000000002</v>
      </c>
      <c r="V51" s="4">
        <v>0.253</v>
      </c>
      <c r="W51" s="4">
        <v>0.49099999999999999</v>
      </c>
      <c r="X51" s="4">
        <v>0.49</v>
      </c>
      <c r="Y51" s="4">
        <v>0.373</v>
      </c>
      <c r="Z51" s="4">
        <v>0.39500000000000002</v>
      </c>
      <c r="AA51" s="4">
        <v>0.39900000000000002</v>
      </c>
      <c r="AB51" s="4">
        <v>0.36499999999999999</v>
      </c>
      <c r="AC51" s="3"/>
      <c r="AD51" s="3"/>
      <c r="AE51" s="3"/>
    </row>
    <row r="52" spans="1:31">
      <c r="A52" s="93" t="s">
        <v>51</v>
      </c>
      <c r="B52" s="2">
        <v>26.8</v>
      </c>
      <c r="C52" s="2">
        <v>14.5</v>
      </c>
      <c r="D52" s="2">
        <v>12.2</v>
      </c>
      <c r="E52" s="2">
        <v>19.2</v>
      </c>
      <c r="F52" s="2">
        <v>11.3</v>
      </c>
      <c r="G52" s="2">
        <v>22.6</v>
      </c>
      <c r="H52" s="2">
        <v>21.5</v>
      </c>
      <c r="I52" s="2">
        <v>31.5</v>
      </c>
      <c r="J52" s="2">
        <v>22</v>
      </c>
      <c r="K52" s="2">
        <v>21.7</v>
      </c>
      <c r="L52" s="2">
        <v>24.8</v>
      </c>
      <c r="M52" s="2">
        <v>21.7</v>
      </c>
      <c r="N52" s="2">
        <v>24.3</v>
      </c>
      <c r="O52" s="2">
        <v>24.4</v>
      </c>
      <c r="P52" s="2">
        <v>22.2</v>
      </c>
      <c r="Q52" s="2">
        <v>20</v>
      </c>
      <c r="R52" s="2">
        <v>24.7</v>
      </c>
      <c r="S52" s="2">
        <v>11.3</v>
      </c>
      <c r="T52" s="2">
        <v>28.4</v>
      </c>
      <c r="U52" s="2">
        <v>32.9</v>
      </c>
      <c r="V52" s="2">
        <v>37.799999999999997</v>
      </c>
      <c r="W52" s="2">
        <v>27</v>
      </c>
      <c r="X52" s="2">
        <v>29.9</v>
      </c>
      <c r="Y52" s="2">
        <v>29</v>
      </c>
      <c r="Z52" s="2">
        <v>22.1</v>
      </c>
      <c r="AA52" s="2">
        <v>23.2</v>
      </c>
      <c r="AB52" s="2">
        <v>25.9</v>
      </c>
      <c r="AC52" s="2">
        <v>25.7</v>
      </c>
      <c r="AD52" s="2">
        <v>23.3</v>
      </c>
      <c r="AE52" s="2">
        <v>29.3</v>
      </c>
    </row>
    <row r="53" spans="1:31">
      <c r="A53" s="93" t="s">
        <v>52</v>
      </c>
      <c r="B53" s="4">
        <v>6.7</v>
      </c>
      <c r="C53" s="4">
        <v>8.74</v>
      </c>
      <c r="D53" s="4">
        <v>6.47</v>
      </c>
      <c r="E53" s="4">
        <v>13.3</v>
      </c>
      <c r="F53" s="4">
        <v>8.09</v>
      </c>
      <c r="G53" s="4">
        <v>11</v>
      </c>
      <c r="H53" s="4">
        <v>9.1300000000000008</v>
      </c>
      <c r="I53" s="4">
        <v>13</v>
      </c>
      <c r="J53" s="4">
        <v>17.2</v>
      </c>
      <c r="K53" s="4">
        <v>5.88</v>
      </c>
      <c r="L53" s="4">
        <v>6.83</v>
      </c>
      <c r="M53" s="4">
        <v>5.59</v>
      </c>
      <c r="N53" s="4">
        <v>6.19</v>
      </c>
      <c r="O53" s="4">
        <v>6.35</v>
      </c>
      <c r="P53" s="4">
        <v>6.68</v>
      </c>
      <c r="Q53" s="4">
        <v>7.09</v>
      </c>
      <c r="R53" s="4">
        <v>8.19</v>
      </c>
      <c r="S53" s="4">
        <v>4.7300000000000004</v>
      </c>
      <c r="T53" s="4">
        <v>8.02</v>
      </c>
      <c r="U53" s="4">
        <v>9.2799999999999994</v>
      </c>
      <c r="V53" s="4">
        <v>10.7</v>
      </c>
      <c r="W53" s="4">
        <v>7.7</v>
      </c>
      <c r="X53" s="4">
        <v>10.199999999999999</v>
      </c>
      <c r="Y53" s="4">
        <v>9.7100000000000009</v>
      </c>
      <c r="Z53" s="4">
        <v>6.04</v>
      </c>
      <c r="AA53" s="4">
        <v>6.28</v>
      </c>
      <c r="AB53" s="4">
        <v>6.28</v>
      </c>
      <c r="AC53" s="4">
        <v>6.99</v>
      </c>
      <c r="AD53" s="4">
        <v>10.3</v>
      </c>
      <c r="AE53" s="4">
        <v>11.6</v>
      </c>
    </row>
    <row r="54" spans="1:31">
      <c r="A54" s="93" t="s">
        <v>53</v>
      </c>
      <c r="B54" s="2">
        <v>0.379</v>
      </c>
      <c r="C54" s="2">
        <v>1.18</v>
      </c>
      <c r="D54" s="2">
        <v>0.78100000000000003</v>
      </c>
      <c r="E54" s="2">
        <v>0.38700000000000001</v>
      </c>
      <c r="F54" s="2">
        <v>0.76</v>
      </c>
      <c r="G54" s="2">
        <v>0.871</v>
      </c>
      <c r="H54" s="2">
        <v>0.22</v>
      </c>
      <c r="I54" s="2">
        <v>0.32300000000000001</v>
      </c>
      <c r="J54" s="2">
        <v>0.41899999999999998</v>
      </c>
      <c r="K54" s="2">
        <v>0.33500000000000002</v>
      </c>
      <c r="L54" s="2">
        <v>0.499</v>
      </c>
      <c r="M54" s="2">
        <v>0.31</v>
      </c>
      <c r="N54" s="2">
        <v>0.30199999999999999</v>
      </c>
      <c r="O54" s="2">
        <v>0.254</v>
      </c>
      <c r="P54" s="2">
        <v>0.48599999999999999</v>
      </c>
      <c r="Q54" s="2">
        <v>0.30199999999999999</v>
      </c>
      <c r="R54" s="2">
        <v>0.39300000000000002</v>
      </c>
      <c r="S54" s="2">
        <v>0.44400000000000001</v>
      </c>
      <c r="T54" s="2">
        <v>0.55600000000000005</v>
      </c>
      <c r="U54" s="2">
        <v>0.55800000000000005</v>
      </c>
      <c r="V54" s="2">
        <v>0.60699999999999998</v>
      </c>
      <c r="W54" s="2">
        <v>0.43</v>
      </c>
      <c r="X54" s="2">
        <v>0.54200000000000004</v>
      </c>
      <c r="Y54" s="2">
        <v>0.49199999999999999</v>
      </c>
      <c r="Z54" s="2">
        <v>0.42099999999999999</v>
      </c>
      <c r="AA54" s="2">
        <v>0.42</v>
      </c>
      <c r="AB54" s="2">
        <v>0.52900000000000003</v>
      </c>
      <c r="AC54" s="2">
        <v>0.38600000000000001</v>
      </c>
      <c r="AD54" s="2">
        <v>0.65</v>
      </c>
      <c r="AE54" s="2">
        <v>0.439</v>
      </c>
    </row>
    <row r="55" spans="1:31">
      <c r="A55" s="93" t="s">
        <v>54</v>
      </c>
      <c r="B55" s="4">
        <v>0.433</v>
      </c>
      <c r="C55" s="4">
        <v>1.27</v>
      </c>
      <c r="D55" s="4">
        <v>1.23</v>
      </c>
      <c r="E55" s="4">
        <v>0.48699999999999999</v>
      </c>
      <c r="F55" s="4">
        <v>0.83299999999999996</v>
      </c>
      <c r="G55" s="4">
        <v>1.18</v>
      </c>
      <c r="H55" s="4">
        <v>0.36599999999999999</v>
      </c>
      <c r="I55" s="4">
        <v>0.38300000000000001</v>
      </c>
      <c r="J55" s="4">
        <v>0.42599999999999999</v>
      </c>
      <c r="K55" s="4">
        <v>0.50600000000000001</v>
      </c>
      <c r="L55" s="4">
        <v>0.78200000000000003</v>
      </c>
      <c r="M55" s="4">
        <v>0.376</v>
      </c>
      <c r="N55" s="4">
        <v>0.372</v>
      </c>
      <c r="O55" s="4">
        <v>0.36399999999999999</v>
      </c>
      <c r="P55" s="4">
        <v>0.95899999999999996</v>
      </c>
      <c r="Q55" s="4">
        <v>0.45800000000000002</v>
      </c>
      <c r="R55" s="4">
        <v>0.78100000000000003</v>
      </c>
      <c r="S55" s="4">
        <v>0.45400000000000001</v>
      </c>
      <c r="T55" s="4">
        <v>0.504</v>
      </c>
      <c r="U55" s="4">
        <v>0.74199999999999999</v>
      </c>
      <c r="V55" s="4">
        <v>0.82499999999999996</v>
      </c>
      <c r="W55" s="4">
        <v>0.70299999999999996</v>
      </c>
      <c r="X55" s="4">
        <v>0.76500000000000001</v>
      </c>
      <c r="Y55" s="4">
        <v>0.70399999999999996</v>
      </c>
      <c r="Z55" s="4">
        <v>0.68100000000000005</v>
      </c>
      <c r="AA55" s="4">
        <v>0.54300000000000004</v>
      </c>
      <c r="AB55" s="4">
        <v>0.91400000000000003</v>
      </c>
      <c r="AC55" s="4">
        <v>0.41399999999999998</v>
      </c>
      <c r="AD55" s="4">
        <v>1.64</v>
      </c>
      <c r="AE55" s="4">
        <v>0.55800000000000005</v>
      </c>
    </row>
    <row r="56" spans="1:31">
      <c r="A56" s="93" t="s">
        <v>55</v>
      </c>
      <c r="B56" s="2">
        <v>2.0899999999999998E-2</v>
      </c>
      <c r="C56" s="2">
        <v>0.27</v>
      </c>
      <c r="D56" s="2">
        <v>0.20699999999999999</v>
      </c>
      <c r="E56" s="2">
        <v>6.1699999999999998E-2</v>
      </c>
      <c r="F56" s="2">
        <v>0.25</v>
      </c>
      <c r="G56" s="2">
        <v>0.161</v>
      </c>
      <c r="H56" s="2">
        <v>7.1599999999999997E-2</v>
      </c>
      <c r="I56" s="2">
        <v>9.8000000000000004E-2</v>
      </c>
      <c r="J56" s="2">
        <v>0.125</v>
      </c>
      <c r="K56" s="2">
        <v>7.3499999999999996E-2</v>
      </c>
      <c r="L56" s="2">
        <v>6.8000000000000005E-2</v>
      </c>
      <c r="M56" s="2">
        <v>1.8700000000000001E-2</v>
      </c>
      <c r="N56" s="2">
        <v>2.47E-2</v>
      </c>
      <c r="O56" s="2">
        <v>2.8899999999999999E-2</v>
      </c>
      <c r="P56" s="2">
        <v>5.6500000000000002E-2</v>
      </c>
      <c r="Q56" s="2">
        <v>8.8599999999999998E-2</v>
      </c>
      <c r="R56" s="2">
        <v>8.9800000000000005E-2</v>
      </c>
      <c r="S56" s="5"/>
      <c r="T56" s="2">
        <v>7.0000000000000007E-2</v>
      </c>
      <c r="U56" s="2">
        <v>7.1800000000000003E-2</v>
      </c>
      <c r="V56" s="2">
        <v>7.0499999999999993E-2</v>
      </c>
      <c r="W56" s="2">
        <v>8.9300000000000004E-2</v>
      </c>
      <c r="X56" s="2">
        <v>0.1</v>
      </c>
      <c r="Y56" s="2">
        <v>0.105</v>
      </c>
      <c r="Z56" s="2">
        <v>5.5300000000000002E-2</v>
      </c>
      <c r="AA56" s="2">
        <v>2.4500000000000001E-2</v>
      </c>
      <c r="AB56" s="2">
        <v>6.9500000000000006E-2</v>
      </c>
      <c r="AC56" s="2">
        <v>3.7699999999999997E-2</v>
      </c>
      <c r="AD56" s="2">
        <v>0.2</v>
      </c>
      <c r="AE56" s="2">
        <v>9.4899999999999998E-2</v>
      </c>
    </row>
    <row r="57" spans="1:31">
      <c r="A57" s="93" t="s">
        <v>56</v>
      </c>
      <c r="B57" s="4">
        <v>0.28199999999999997</v>
      </c>
      <c r="C57" s="4">
        <v>0.43</v>
      </c>
      <c r="D57" s="4">
        <v>0.46800000000000003</v>
      </c>
      <c r="E57" s="4">
        <v>0.34899999999999998</v>
      </c>
      <c r="F57" s="4">
        <v>0.43</v>
      </c>
      <c r="G57" s="4">
        <v>0.44600000000000001</v>
      </c>
      <c r="H57" s="4">
        <v>0.16800000000000001</v>
      </c>
      <c r="I57" s="4">
        <v>0.41399999999999998</v>
      </c>
      <c r="J57" s="4">
        <v>0.28499999999999998</v>
      </c>
      <c r="K57" s="4">
        <v>0.26900000000000002</v>
      </c>
      <c r="L57" s="4">
        <v>0.218</v>
      </c>
      <c r="M57" s="4">
        <v>0.26</v>
      </c>
      <c r="N57" s="4">
        <v>0.253</v>
      </c>
      <c r="O57" s="4">
        <v>0.26500000000000001</v>
      </c>
      <c r="P57" s="4">
        <v>0.23599999999999999</v>
      </c>
      <c r="Q57" s="4">
        <v>0.32900000000000001</v>
      </c>
      <c r="R57" s="4">
        <v>0.21199999999999999</v>
      </c>
      <c r="S57" s="4">
        <v>0.2</v>
      </c>
      <c r="T57" s="4">
        <v>0.14599999999999999</v>
      </c>
      <c r="U57" s="4">
        <v>0.223</v>
      </c>
      <c r="V57" s="4">
        <v>0.28999999999999998</v>
      </c>
      <c r="W57" s="4">
        <v>0.28699999999999998</v>
      </c>
      <c r="X57" s="4">
        <v>0.37</v>
      </c>
      <c r="Y57" s="4">
        <v>0.27700000000000002</v>
      </c>
      <c r="Z57" s="4">
        <v>0.23699999999999999</v>
      </c>
      <c r="AA57" s="4">
        <v>0.24199999999999999</v>
      </c>
      <c r="AB57" s="4">
        <v>0.24199999999999999</v>
      </c>
      <c r="AC57" s="4">
        <v>0.106</v>
      </c>
      <c r="AD57" s="4">
        <v>0.3</v>
      </c>
      <c r="AE57" s="4">
        <v>0.23400000000000001</v>
      </c>
    </row>
    <row r="58" spans="1:31">
      <c r="A58" s="93" t="s">
        <v>762</v>
      </c>
      <c r="B58" s="2">
        <v>4.4499999999999998E-2</v>
      </c>
      <c r="C58" s="2">
        <v>0.222</v>
      </c>
      <c r="D58" s="2">
        <v>0.20899999999999999</v>
      </c>
      <c r="E58" s="2">
        <v>0.183</v>
      </c>
      <c r="F58" s="2">
        <v>0.13300000000000001</v>
      </c>
      <c r="G58" s="2">
        <v>0.126</v>
      </c>
      <c r="H58" s="2">
        <v>0.159</v>
      </c>
      <c r="I58" s="2">
        <v>0.20100000000000001</v>
      </c>
      <c r="J58" s="2">
        <v>0.13300000000000001</v>
      </c>
      <c r="K58" s="2">
        <v>8.9800000000000005E-2</v>
      </c>
      <c r="L58" s="2">
        <v>0.115</v>
      </c>
      <c r="M58" s="2">
        <v>4.8399999999999999E-2</v>
      </c>
      <c r="N58" s="2">
        <v>5.21E-2</v>
      </c>
      <c r="O58" s="2">
        <v>4.9200000000000001E-2</v>
      </c>
      <c r="P58" s="2">
        <v>0.127</v>
      </c>
      <c r="Q58" s="2">
        <v>0.24399999999999999</v>
      </c>
      <c r="R58" s="5"/>
      <c r="S58" s="2">
        <v>6.4899999999999999E-2</v>
      </c>
      <c r="T58" s="2">
        <v>5.1499999999999997E-2</v>
      </c>
      <c r="U58" s="2">
        <v>6.5699999999999995E-2</v>
      </c>
      <c r="V58" s="2">
        <v>5.3699999999999998E-2</v>
      </c>
      <c r="W58" s="2">
        <v>6.83E-2</v>
      </c>
      <c r="X58" s="2">
        <v>9.7199999999999995E-2</v>
      </c>
      <c r="Y58" s="2">
        <v>7.4700000000000003E-2</v>
      </c>
      <c r="Z58" s="2">
        <v>4.4400000000000002E-2</v>
      </c>
      <c r="AA58" s="2">
        <v>5.57E-2</v>
      </c>
      <c r="AB58" s="2">
        <v>0.108</v>
      </c>
      <c r="AC58" s="2">
        <v>2.5899999999999999E-2</v>
      </c>
      <c r="AD58" s="2">
        <v>0.127</v>
      </c>
      <c r="AE58" s="2">
        <v>0.16300000000000001</v>
      </c>
    </row>
    <row r="59" spans="1:31">
      <c r="A59" s="93" t="s">
        <v>763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>
      <c r="A60" s="93" t="s">
        <v>57</v>
      </c>
      <c r="B60" s="2">
        <v>6.9699999999999996E-3</v>
      </c>
      <c r="C60" s="2">
        <v>5.0099999999999999E-2</v>
      </c>
      <c r="D60" s="2">
        <v>3.9600000000000003E-2</v>
      </c>
      <c r="E60" s="2">
        <v>7.4399999999999994E-2</v>
      </c>
      <c r="F60" s="2">
        <v>2.5399999999999999E-2</v>
      </c>
      <c r="G60" s="2">
        <v>5.57E-2</v>
      </c>
      <c r="H60" s="2">
        <v>7.2300000000000003E-2</v>
      </c>
      <c r="I60" s="2">
        <v>2.2800000000000001E-2</v>
      </c>
      <c r="J60" s="2">
        <v>3.1800000000000002E-2</v>
      </c>
      <c r="K60" s="2">
        <v>2.2800000000000001E-2</v>
      </c>
      <c r="L60" s="2">
        <v>1.14E-2</v>
      </c>
      <c r="M60" s="2">
        <v>9.1699999999999993E-3</v>
      </c>
      <c r="N60" s="2">
        <v>8.4700000000000001E-3</v>
      </c>
      <c r="O60" s="2">
        <v>7.7499999999999999E-3</v>
      </c>
      <c r="P60" s="2">
        <v>2.7900000000000001E-2</v>
      </c>
      <c r="Q60" s="2">
        <v>2.1299999999999999E-2</v>
      </c>
      <c r="R60" s="2">
        <v>1.9599999999999999E-2</v>
      </c>
      <c r="S60" s="2">
        <v>5.0999999999999997E-2</v>
      </c>
      <c r="T60" s="2">
        <v>2.5700000000000001E-2</v>
      </c>
      <c r="U60" s="2">
        <v>3.27E-2</v>
      </c>
      <c r="V60" s="2">
        <v>2.35E-2</v>
      </c>
      <c r="W60" s="2">
        <v>2.06E-2</v>
      </c>
      <c r="X60" s="2">
        <v>0.03</v>
      </c>
      <c r="Y60" s="2">
        <v>1.2999999999999999E-2</v>
      </c>
      <c r="Z60" s="2">
        <v>1.2800000000000001E-2</v>
      </c>
      <c r="AA60" s="2">
        <v>1.7000000000000001E-2</v>
      </c>
      <c r="AB60" s="2">
        <v>1.37E-2</v>
      </c>
      <c r="AC60" s="2">
        <v>2.1999999999999999E-2</v>
      </c>
      <c r="AD60" s="2">
        <v>4.24E-2</v>
      </c>
      <c r="AE60" s="2">
        <v>3.2899999999999999E-2</v>
      </c>
    </row>
    <row r="61" spans="1:31">
      <c r="A61" s="93" t="s">
        <v>58</v>
      </c>
      <c r="B61" s="4">
        <v>1.23</v>
      </c>
      <c r="C61" s="4">
        <v>0.83799999999999997</v>
      </c>
      <c r="D61" s="4">
        <v>1.2</v>
      </c>
      <c r="E61" s="4">
        <v>0.58799999999999997</v>
      </c>
      <c r="F61" s="4">
        <v>0.85799999999999998</v>
      </c>
      <c r="G61" s="4">
        <v>0.84099999999999997</v>
      </c>
      <c r="H61" s="4">
        <v>0.63100000000000001</v>
      </c>
      <c r="I61" s="4">
        <v>0.85899999999999999</v>
      </c>
      <c r="J61" s="4">
        <v>0.79500000000000004</v>
      </c>
      <c r="K61" s="4">
        <v>0.65200000000000002</v>
      </c>
      <c r="L61" s="4">
        <v>0.69699999999999995</v>
      </c>
      <c r="M61" s="4">
        <v>1.1499999999999999</v>
      </c>
      <c r="N61" s="4">
        <v>1.1399999999999999</v>
      </c>
      <c r="O61" s="4">
        <v>1.0900000000000001</v>
      </c>
      <c r="P61" s="4">
        <v>0.71399999999999997</v>
      </c>
      <c r="Q61" s="4">
        <v>0.70499999999999996</v>
      </c>
      <c r="R61" s="4">
        <v>0.79</v>
      </c>
      <c r="S61" s="4">
        <v>0.872</v>
      </c>
      <c r="T61" s="4">
        <v>0.54100000000000004</v>
      </c>
      <c r="U61" s="4">
        <v>0.77</v>
      </c>
      <c r="V61" s="4">
        <v>1.06</v>
      </c>
      <c r="W61" s="4">
        <v>0.51700000000000002</v>
      </c>
      <c r="X61" s="4">
        <v>0.82099999999999995</v>
      </c>
      <c r="Y61" s="4">
        <v>0.873</v>
      </c>
      <c r="Z61" s="4">
        <v>0.98799999999999999</v>
      </c>
      <c r="AA61" s="4">
        <v>0.86799999999999999</v>
      </c>
      <c r="AB61" s="4">
        <v>0.48899999999999999</v>
      </c>
      <c r="AC61" s="4">
        <v>1.56</v>
      </c>
      <c r="AD61" s="4">
        <v>0.76300000000000001</v>
      </c>
      <c r="AE61" s="4">
        <v>0.86599999999999999</v>
      </c>
    </row>
    <row r="62" spans="1:31">
      <c r="A62" s="93" t="s">
        <v>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spans="1:31">
      <c r="A63" s="93" t="s">
        <v>60</v>
      </c>
      <c r="B63" s="4">
        <v>0.23899999999999999</v>
      </c>
      <c r="C63" s="4">
        <v>0.16800000000000001</v>
      </c>
      <c r="D63" s="4">
        <v>0.27500000000000002</v>
      </c>
      <c r="E63" s="4">
        <v>7.9699999999999993E-2</v>
      </c>
      <c r="F63" s="4">
        <v>0.10199999999999999</v>
      </c>
      <c r="G63" s="4">
        <v>0.129</v>
      </c>
      <c r="H63" s="4">
        <v>0.155</v>
      </c>
      <c r="I63" s="4">
        <v>0.20799999999999999</v>
      </c>
      <c r="J63" s="4">
        <v>0.22700000000000001</v>
      </c>
      <c r="K63" s="4">
        <v>8.3500000000000005E-2</v>
      </c>
      <c r="L63" s="4">
        <v>8.1299999999999997E-2</v>
      </c>
      <c r="M63" s="4">
        <v>0.30399999999999999</v>
      </c>
      <c r="N63" s="4">
        <v>0.247</v>
      </c>
      <c r="O63" s="4">
        <v>0.23</v>
      </c>
      <c r="P63" s="4">
        <v>0.106</v>
      </c>
      <c r="Q63" s="4">
        <v>0.13</v>
      </c>
      <c r="R63" s="4">
        <v>0.121</v>
      </c>
      <c r="S63" s="4">
        <v>0.52200000000000002</v>
      </c>
      <c r="T63" s="4">
        <v>9.8000000000000004E-2</v>
      </c>
      <c r="U63" s="4">
        <v>5.3900000000000003E-2</v>
      </c>
      <c r="V63" s="4">
        <v>4.3900000000000002E-2</v>
      </c>
      <c r="W63" s="4">
        <v>7.1300000000000002E-2</v>
      </c>
      <c r="X63" s="4">
        <v>6.8500000000000005E-2</v>
      </c>
      <c r="Y63" s="4">
        <v>5.6899999999999999E-2</v>
      </c>
      <c r="Z63" s="4">
        <v>8.7400000000000005E-2</v>
      </c>
      <c r="AA63" s="4">
        <v>0.184</v>
      </c>
      <c r="AB63" s="4">
        <v>6.6500000000000004E-2</v>
      </c>
      <c r="AC63" s="4">
        <v>0.17799999999999999</v>
      </c>
      <c r="AD63" s="4">
        <v>9.8900000000000002E-2</v>
      </c>
      <c r="AE63" s="4">
        <v>0.215</v>
      </c>
    </row>
    <row r="64" spans="1:31">
      <c r="A64" s="93" t="s">
        <v>61</v>
      </c>
      <c r="B64" s="2">
        <v>4.07E-2</v>
      </c>
      <c r="C64" s="2">
        <v>0.19900000000000001</v>
      </c>
      <c r="D64" s="2">
        <v>0.26</v>
      </c>
      <c r="E64" s="2">
        <v>0.14799999999999999</v>
      </c>
      <c r="F64" s="2">
        <v>0.126</v>
      </c>
      <c r="G64" s="2">
        <v>0.13600000000000001</v>
      </c>
      <c r="H64" s="2">
        <v>0.157</v>
      </c>
      <c r="I64" s="2">
        <v>0.21299999999999999</v>
      </c>
      <c r="J64" s="2">
        <v>0.23799999999999999</v>
      </c>
      <c r="K64" s="2">
        <v>0.16800000000000001</v>
      </c>
      <c r="L64" s="2">
        <v>0.182</v>
      </c>
      <c r="M64" s="2">
        <v>3.0599999999999999E-2</v>
      </c>
      <c r="N64" s="2">
        <v>2.47E-2</v>
      </c>
      <c r="O64" s="2">
        <v>3.3399999999999999E-2</v>
      </c>
      <c r="P64" s="2">
        <v>0.14699999999999999</v>
      </c>
      <c r="Q64" s="2">
        <v>0.17899999999999999</v>
      </c>
      <c r="R64" s="2">
        <v>9.1999999999999998E-2</v>
      </c>
      <c r="S64" s="2">
        <v>0.124</v>
      </c>
      <c r="T64" s="2">
        <v>7.1999999999999995E-2</v>
      </c>
      <c r="U64" s="2">
        <v>9.1200000000000003E-2</v>
      </c>
      <c r="V64" s="2">
        <v>0.11700000000000001</v>
      </c>
      <c r="W64" s="2">
        <v>9.7699999999999995E-2</v>
      </c>
      <c r="X64" s="2">
        <v>0.1</v>
      </c>
      <c r="Y64" s="2">
        <v>0.11899999999999999</v>
      </c>
      <c r="Z64" s="2">
        <v>0.10100000000000001</v>
      </c>
      <c r="AA64" s="2">
        <v>5.5800000000000002E-2</v>
      </c>
      <c r="AB64" s="2">
        <v>0.13</v>
      </c>
      <c r="AC64" s="2">
        <v>3.3099999999999997E-2</v>
      </c>
      <c r="AD64" s="2">
        <v>0.2</v>
      </c>
      <c r="AE64" s="2">
        <v>0.20200000000000001</v>
      </c>
    </row>
    <row r="65" spans="1:31">
      <c r="A65" s="93" t="s">
        <v>62</v>
      </c>
      <c r="B65" s="4">
        <v>1.18</v>
      </c>
      <c r="C65" s="4">
        <v>1.62</v>
      </c>
      <c r="D65" s="4">
        <v>1.82</v>
      </c>
      <c r="E65" s="4">
        <v>2.19</v>
      </c>
      <c r="F65" s="4">
        <v>2.17</v>
      </c>
      <c r="G65" s="4">
        <v>1.52</v>
      </c>
      <c r="H65" s="4">
        <v>0.67700000000000005</v>
      </c>
      <c r="I65" s="4">
        <v>0.97399999999999998</v>
      </c>
      <c r="J65" s="4">
        <v>0.78200000000000003</v>
      </c>
      <c r="K65" s="4">
        <v>0.27</v>
      </c>
      <c r="L65" s="4">
        <v>0.25</v>
      </c>
      <c r="M65" s="4">
        <v>1.23</v>
      </c>
      <c r="N65" s="4">
        <v>1.2</v>
      </c>
      <c r="O65" s="4">
        <v>1.18</v>
      </c>
      <c r="P65" s="4">
        <v>0.26200000000000001</v>
      </c>
      <c r="Q65" s="4">
        <v>0.82099999999999995</v>
      </c>
      <c r="R65" s="4">
        <v>1.07</v>
      </c>
      <c r="S65" s="4">
        <v>1.64</v>
      </c>
      <c r="T65" s="4">
        <v>1.46</v>
      </c>
      <c r="U65" s="4">
        <v>1.1399999999999999</v>
      </c>
      <c r="V65" s="4">
        <v>1.46</v>
      </c>
      <c r="W65" s="4">
        <v>1.17</v>
      </c>
      <c r="X65" s="4">
        <v>1.1399999999999999</v>
      </c>
      <c r="Y65" s="4">
        <v>1.17</v>
      </c>
      <c r="Z65" s="4">
        <v>1.24</v>
      </c>
      <c r="AA65" s="4">
        <v>0.88400000000000001</v>
      </c>
      <c r="AB65" s="4">
        <v>0.25800000000000001</v>
      </c>
      <c r="AC65" s="4">
        <v>0.82799999999999996</v>
      </c>
      <c r="AD65" s="4">
        <v>1.65</v>
      </c>
      <c r="AE65" s="4">
        <v>0.93899999999999995</v>
      </c>
    </row>
    <row r="66" spans="1:31">
      <c r="A66" s="93" t="s">
        <v>63</v>
      </c>
      <c r="B66" s="2">
        <v>0.13900000000000001</v>
      </c>
      <c r="C66" s="2">
        <v>3.1E-2</v>
      </c>
      <c r="D66" s="2">
        <v>2.0899999999999998E-2</v>
      </c>
      <c r="E66" s="2">
        <v>3.5299999999999998E-2</v>
      </c>
      <c r="F66" s="2">
        <v>2.4299999999999999E-2</v>
      </c>
      <c r="G66" s="2">
        <v>2.4899999999999999E-2</v>
      </c>
      <c r="H66" s="2">
        <v>4.82E-2</v>
      </c>
      <c r="I66" s="2">
        <v>7.4099999999999999E-2</v>
      </c>
      <c r="J66" s="2">
        <v>9.1899999999999996E-2</v>
      </c>
      <c r="K66" s="2">
        <v>2.18E-2</v>
      </c>
      <c r="L66" s="2">
        <v>0.04</v>
      </c>
      <c r="M66" s="2">
        <v>0.152</v>
      </c>
      <c r="N66" s="2">
        <v>0.152</v>
      </c>
      <c r="O66" s="2">
        <v>0.13300000000000001</v>
      </c>
      <c r="P66" s="2">
        <v>3.5299999999999998E-2</v>
      </c>
      <c r="Q66" s="2">
        <v>4.4600000000000001E-2</v>
      </c>
      <c r="R66" s="2">
        <v>3.3000000000000002E-2</v>
      </c>
      <c r="S66" s="2">
        <v>5.5300000000000002E-2</v>
      </c>
      <c r="T66" s="2">
        <v>3.7999999999999999E-2</v>
      </c>
      <c r="U66" s="2">
        <v>4.8500000000000001E-2</v>
      </c>
      <c r="V66" s="2">
        <v>3.95E-2</v>
      </c>
      <c r="W66" s="2">
        <v>2.76E-2</v>
      </c>
      <c r="X66" s="2">
        <v>2.2499999999999999E-2</v>
      </c>
      <c r="Y66" s="2">
        <v>3.0300000000000001E-2</v>
      </c>
      <c r="Z66" s="2">
        <v>3.9100000000000003E-2</v>
      </c>
      <c r="AA66" s="2">
        <v>0.13</v>
      </c>
      <c r="AB66" s="2">
        <v>2.5499999999999998E-2</v>
      </c>
      <c r="AC66" s="2">
        <v>4.2099999999999999E-2</v>
      </c>
      <c r="AD66" s="2">
        <v>4.0500000000000001E-2</v>
      </c>
      <c r="AE66" s="2">
        <v>7.0900000000000005E-2</v>
      </c>
    </row>
    <row r="67" spans="1:31">
      <c r="A67" s="93" t="s">
        <v>64</v>
      </c>
      <c r="B67" s="4">
        <v>2.1800000000000002</v>
      </c>
      <c r="C67" s="4">
        <v>4.22</v>
      </c>
      <c r="D67" s="4">
        <v>4.5599999999999996</v>
      </c>
      <c r="E67" s="4">
        <v>5.66</v>
      </c>
      <c r="F67" s="4">
        <v>5.19</v>
      </c>
      <c r="G67" s="4">
        <v>4.34</v>
      </c>
      <c r="H67" s="4">
        <v>2.25</v>
      </c>
      <c r="I67" s="4">
        <v>2.57</v>
      </c>
      <c r="J67" s="4">
        <v>1.53</v>
      </c>
      <c r="K67" s="4">
        <v>3.9</v>
      </c>
      <c r="L67" s="4">
        <v>4.41</v>
      </c>
      <c r="M67" s="4">
        <v>2.52</v>
      </c>
      <c r="N67" s="4">
        <v>2.1</v>
      </c>
      <c r="O67" s="4">
        <v>1.9</v>
      </c>
      <c r="P67" s="4">
        <v>3.77</v>
      </c>
      <c r="Q67" s="4">
        <v>2.35</v>
      </c>
      <c r="R67" s="4">
        <v>3.16</v>
      </c>
      <c r="S67" s="4">
        <v>2.84</v>
      </c>
      <c r="T67" s="4">
        <v>2.2999999999999998</v>
      </c>
      <c r="U67" s="4">
        <v>2.52</v>
      </c>
      <c r="V67" s="4">
        <v>2.65</v>
      </c>
      <c r="W67" s="4">
        <v>3.45</v>
      </c>
      <c r="X67" s="4">
        <v>3.45</v>
      </c>
      <c r="Y67" s="4">
        <v>3.84</v>
      </c>
      <c r="Z67" s="4">
        <v>2.27</v>
      </c>
      <c r="AA67" s="4">
        <v>2.36</v>
      </c>
      <c r="AB67" s="4">
        <v>3.64</v>
      </c>
      <c r="AC67" s="4">
        <v>2.0099999999999998</v>
      </c>
      <c r="AD67" s="4">
        <v>4.59</v>
      </c>
      <c r="AE67" s="4">
        <v>3.1</v>
      </c>
    </row>
    <row r="68" spans="1:31" ht="17" thickBot="1">
      <c r="A68" s="94" t="s">
        <v>65</v>
      </c>
      <c r="B68" s="95">
        <v>0.52300000000000002</v>
      </c>
      <c r="C68" s="95">
        <v>0.36399999999999999</v>
      </c>
      <c r="D68" s="95">
        <v>0.28899999999999998</v>
      </c>
      <c r="E68" s="95">
        <v>0.47299999999999998</v>
      </c>
      <c r="F68" s="95">
        <v>0.36</v>
      </c>
      <c r="G68" s="95">
        <v>0.33100000000000002</v>
      </c>
      <c r="H68" s="95">
        <v>0.52600000000000002</v>
      </c>
      <c r="I68" s="95">
        <v>0.94899999999999995</v>
      </c>
      <c r="J68" s="95">
        <v>0.64400000000000002</v>
      </c>
      <c r="K68" s="95">
        <v>0.52300000000000002</v>
      </c>
      <c r="L68" s="95">
        <v>0.497</v>
      </c>
      <c r="M68" s="95">
        <v>0.59599999999999997</v>
      </c>
      <c r="N68" s="95">
        <v>0.56200000000000006</v>
      </c>
      <c r="O68" s="95">
        <v>0.54600000000000004</v>
      </c>
      <c r="P68" s="95">
        <v>0.56699999999999995</v>
      </c>
      <c r="Q68" s="95">
        <v>0.45500000000000002</v>
      </c>
      <c r="R68" s="95">
        <v>0.627</v>
      </c>
      <c r="S68" s="95">
        <v>1.2</v>
      </c>
      <c r="T68" s="95">
        <v>0.63200000000000001</v>
      </c>
      <c r="U68" s="95">
        <v>0.77800000000000002</v>
      </c>
      <c r="V68" s="95">
        <v>0.67100000000000004</v>
      </c>
      <c r="W68" s="95">
        <v>0.79500000000000004</v>
      </c>
      <c r="X68" s="95">
        <v>0.68799999999999994</v>
      </c>
      <c r="Y68" s="95">
        <v>0.77100000000000002</v>
      </c>
      <c r="Z68" s="95">
        <v>0.55100000000000005</v>
      </c>
      <c r="AA68" s="95">
        <v>0.69699999999999995</v>
      </c>
      <c r="AB68" s="95">
        <v>0.499</v>
      </c>
      <c r="AC68" s="95">
        <v>0.23699999999999999</v>
      </c>
      <c r="AD68" s="95">
        <v>0.307</v>
      </c>
      <c r="AE68" s="95">
        <v>0.73099999999999998</v>
      </c>
    </row>
    <row r="69" spans="1:31">
      <c r="A69" s="98"/>
    </row>
    <row r="70" spans="1:31">
      <c r="A70" s="98"/>
    </row>
    <row r="74" spans="1:31">
      <c r="A74" s="98"/>
    </row>
    <row r="75" spans="1:31">
      <c r="A75" s="98"/>
    </row>
    <row r="76" spans="1:31">
      <c r="A76" s="98"/>
    </row>
    <row r="77" spans="1:31">
      <c r="A77" s="98"/>
    </row>
    <row r="78" spans="1:31">
      <c r="A78" s="98"/>
    </row>
    <row r="79" spans="1:31">
      <c r="A79" s="98"/>
    </row>
    <row r="85" spans="1:1">
      <c r="A85" s="98"/>
    </row>
    <row r="86" spans="1:1">
      <c r="A86" s="98"/>
    </row>
    <row r="87" spans="1:1">
      <c r="A87" s="98"/>
    </row>
    <row r="88" spans="1:1">
      <c r="A88" s="98"/>
    </row>
    <row r="89" spans="1:1">
      <c r="A89" s="98"/>
    </row>
    <row r="90" spans="1:1">
      <c r="A90" s="98"/>
    </row>
    <row r="91" spans="1:1">
      <c r="A91" s="98"/>
    </row>
    <row r="92" spans="1:1">
      <c r="A92" s="98"/>
    </row>
    <row r="93" spans="1:1">
      <c r="A93" s="98"/>
    </row>
    <row r="94" spans="1:1">
      <c r="A94" s="98"/>
    </row>
    <row r="95" spans="1:1">
      <c r="A95" s="98"/>
    </row>
    <row r="96" spans="1:1">
      <c r="A96" s="98"/>
    </row>
    <row r="97" spans="1:1">
      <c r="A97" s="98"/>
    </row>
    <row r="98" spans="1:1">
      <c r="A98" s="98"/>
    </row>
    <row r="99" spans="1:1">
      <c r="A99" s="98"/>
    </row>
    <row r="100" spans="1:1">
      <c r="A100" s="98"/>
    </row>
    <row r="101" spans="1:1">
      <c r="A101" s="98"/>
    </row>
    <row r="102" spans="1:1">
      <c r="A102" s="98"/>
    </row>
    <row r="103" spans="1:1">
      <c r="A103" s="98"/>
    </row>
    <row r="104" spans="1:1">
      <c r="A104" s="98"/>
    </row>
    <row r="105" spans="1:1">
      <c r="A105" s="98"/>
    </row>
    <row r="106" spans="1:1">
      <c r="A106" s="98"/>
    </row>
    <row r="107" spans="1:1">
      <c r="A107" s="98"/>
    </row>
    <row r="108" spans="1:1">
      <c r="A108" s="98"/>
    </row>
    <row r="109" spans="1:1">
      <c r="A109" s="98"/>
    </row>
    <row r="111" spans="1:1">
      <c r="A111" s="98"/>
    </row>
    <row r="112" spans="1:1">
      <c r="A112" s="98"/>
    </row>
    <row r="113" spans="1:1">
      <c r="A113" s="98"/>
    </row>
    <row r="114" spans="1:1">
      <c r="A114" s="98"/>
    </row>
    <row r="118" spans="1:1">
      <c r="A118" s="98"/>
    </row>
    <row r="119" spans="1:1">
      <c r="A119" s="98"/>
    </row>
    <row r="120" spans="1:1">
      <c r="A120" s="98"/>
    </row>
    <row r="121" spans="1:1">
      <c r="A121" s="98"/>
    </row>
    <row r="122" spans="1:1">
      <c r="A122" s="98"/>
    </row>
    <row r="123" spans="1:1">
      <c r="A123" s="98"/>
    </row>
    <row r="125" spans="1:1">
      <c r="A125" s="98"/>
    </row>
    <row r="128" spans="1:1">
      <c r="A128" s="98"/>
    </row>
    <row r="129" spans="1:1">
      <c r="A129" s="98"/>
    </row>
    <row r="132" spans="1:1">
      <c r="A132" s="98"/>
    </row>
    <row r="133" spans="1:1">
      <c r="A133" s="98"/>
    </row>
    <row r="135" spans="1:1">
      <c r="A135" s="98"/>
    </row>
    <row r="136" spans="1:1">
      <c r="A136" s="98"/>
    </row>
    <row r="139" spans="1:1">
      <c r="A139" s="98"/>
    </row>
    <row r="140" spans="1:1">
      <c r="A140" s="98"/>
    </row>
    <row r="218" spans="1:1">
      <c r="A218" s="98"/>
    </row>
    <row r="220" spans="1:1">
      <c r="A220" s="98"/>
    </row>
    <row r="222" spans="1:1">
      <c r="A222" s="98"/>
    </row>
    <row r="223" spans="1:1">
      <c r="A223" s="98"/>
    </row>
    <row r="226" spans="1:1">
      <c r="A226" s="98"/>
    </row>
    <row r="227" spans="1:1">
      <c r="A227" s="98"/>
    </row>
    <row r="230" spans="1:1">
      <c r="A230" s="98"/>
    </row>
    <row r="231" spans="1:1">
      <c r="A231" s="98"/>
    </row>
    <row r="234" spans="1:1">
      <c r="A234" s="98"/>
    </row>
    <row r="235" spans="1:1">
      <c r="A235" s="98"/>
    </row>
    <row r="299" spans="1:1">
      <c r="A299" s="98"/>
    </row>
    <row r="308" spans="1:1">
      <c r="A308" s="99"/>
    </row>
    <row r="310" spans="1:1">
      <c r="A310" s="98"/>
    </row>
    <row r="312" spans="1:1">
      <c r="A312" s="98"/>
    </row>
    <row r="314" spans="1:1">
      <c r="A314" s="98"/>
    </row>
    <row r="315" spans="1:1">
      <c r="A315" s="98"/>
    </row>
    <row r="318" spans="1:1">
      <c r="A318" s="98"/>
    </row>
    <row r="319" spans="1:1">
      <c r="A319" s="98"/>
    </row>
    <row r="321" spans="1:1">
      <c r="A321" s="98"/>
    </row>
    <row r="323" spans="1:1">
      <c r="A323" s="98"/>
    </row>
    <row r="324" spans="1:1">
      <c r="A324" s="98"/>
    </row>
    <row r="327" spans="1:1">
      <c r="A327" s="98"/>
    </row>
    <row r="328" spans="1:1">
      <c r="A328" s="98"/>
    </row>
    <row r="330" spans="1:1">
      <c r="A330" s="98"/>
    </row>
    <row r="331" spans="1:1">
      <c r="A331" s="98"/>
    </row>
    <row r="334" spans="1:1">
      <c r="A334" s="98"/>
    </row>
    <row r="335" spans="1:1">
      <c r="A335" s="98"/>
    </row>
    <row r="337" spans="1:1">
      <c r="A337" s="98"/>
    </row>
    <row r="338" spans="1:1">
      <c r="A338" s="98"/>
    </row>
    <row r="341" spans="1:1">
      <c r="A341" s="98"/>
    </row>
    <row r="342" spans="1:1">
      <c r="A342" s="98"/>
    </row>
    <row r="344" spans="1:1">
      <c r="A344" s="98"/>
    </row>
    <row r="345" spans="1:1">
      <c r="A345" s="98"/>
    </row>
    <row r="348" spans="1:1">
      <c r="A348" s="98"/>
    </row>
    <row r="349" spans="1:1">
      <c r="A349" s="98"/>
    </row>
    <row r="351" spans="1:1">
      <c r="A351" s="98"/>
    </row>
    <row r="352" spans="1:1">
      <c r="A352" s="98"/>
    </row>
    <row r="355" spans="1:1">
      <c r="A355" s="98"/>
    </row>
    <row r="356" spans="1:1">
      <c r="A356" s="98"/>
    </row>
    <row r="357" spans="1:1">
      <c r="A357" s="99"/>
    </row>
    <row r="358" spans="1:1">
      <c r="A358" s="99"/>
    </row>
    <row r="361" spans="1:1">
      <c r="A361" s="99"/>
    </row>
    <row r="362" spans="1:1">
      <c r="A362" s="99"/>
    </row>
    <row r="363" spans="1:1">
      <c r="A363" s="98"/>
    </row>
    <row r="364" spans="1:1">
      <c r="A364" s="98"/>
    </row>
    <row r="367" spans="1:1">
      <c r="A367" s="98"/>
    </row>
    <row r="368" spans="1:1">
      <c r="A368" s="98"/>
    </row>
    <row r="446" spans="1:1">
      <c r="A446" s="98"/>
    </row>
    <row r="448" spans="1:1">
      <c r="A448" s="98"/>
    </row>
    <row r="449" spans="1:1">
      <c r="A449" s="98"/>
    </row>
    <row r="452" spans="1:1">
      <c r="A452" s="98"/>
    </row>
    <row r="453" spans="1:1">
      <c r="A453" s="98"/>
    </row>
    <row r="455" spans="1:1">
      <c r="A455" s="98"/>
    </row>
    <row r="456" spans="1:1">
      <c r="A456" s="99"/>
    </row>
    <row r="457" spans="1:1">
      <c r="A457" s="99"/>
    </row>
    <row r="458" spans="1:1">
      <c r="A458" s="98"/>
    </row>
    <row r="460" spans="1:1">
      <c r="A460" s="98"/>
    </row>
    <row r="461" spans="1:1">
      <c r="A461" s="98"/>
    </row>
    <row r="462" spans="1:1">
      <c r="A462" s="98"/>
    </row>
    <row r="465" spans="1:1">
      <c r="A465" s="98"/>
    </row>
    <row r="466" spans="1:1">
      <c r="A466" s="98"/>
    </row>
    <row r="467" spans="1:1">
      <c r="A467" s="99"/>
    </row>
    <row r="468" spans="1:1">
      <c r="A468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7" spans="1:1">
      <c r="A477" s="98"/>
    </row>
    <row r="478" spans="1:1">
      <c r="A478" s="98"/>
    </row>
    <row r="479" spans="1:1">
      <c r="A479" s="98"/>
    </row>
    <row r="482" spans="1:1">
      <c r="A482" s="98"/>
    </row>
    <row r="483" spans="1:1">
      <c r="A483" s="98"/>
    </row>
    <row r="485" spans="1:1">
      <c r="A485" s="98"/>
    </row>
    <row r="486" spans="1:1">
      <c r="A486" s="98"/>
    </row>
    <row r="489" spans="1:1">
      <c r="A489" s="98"/>
    </row>
    <row r="490" spans="1:1">
      <c r="A490" s="98"/>
    </row>
    <row r="492" spans="1:1">
      <c r="A492" s="98"/>
    </row>
    <row r="494" spans="1:1">
      <c r="A494" s="98"/>
    </row>
    <row r="495" spans="1:1">
      <c r="A495" s="98"/>
    </row>
    <row r="498" spans="1:1">
      <c r="A498" s="98"/>
    </row>
    <row r="499" spans="1:1">
      <c r="A499" s="98"/>
    </row>
    <row r="501" spans="1:1">
      <c r="A501" s="98"/>
    </row>
    <row r="502" spans="1:1">
      <c r="A502" s="98"/>
    </row>
    <row r="505" spans="1:1">
      <c r="A505" s="98"/>
    </row>
    <row r="506" spans="1:1">
      <c r="A506" s="98"/>
    </row>
    <row r="508" spans="1:1">
      <c r="A508" s="98"/>
    </row>
    <row r="510" spans="1:1">
      <c r="A510" s="98"/>
    </row>
    <row r="511" spans="1:1">
      <c r="A511" s="98"/>
    </row>
    <row r="513" spans="1:1">
      <c r="A513" s="98"/>
    </row>
    <row r="516" spans="1:1">
      <c r="A516" s="98"/>
    </row>
    <row r="517" spans="1:1">
      <c r="A517" s="98"/>
    </row>
    <row r="519" spans="1:1">
      <c r="A519" s="98"/>
    </row>
    <row r="520" spans="1:1">
      <c r="A520" s="98"/>
    </row>
    <row r="523" spans="1:1">
      <c r="A523" s="98"/>
    </row>
    <row r="524" spans="1:1">
      <c r="A524" s="98"/>
    </row>
    <row r="525" spans="1:1">
      <c r="A525" s="99"/>
    </row>
    <row r="526" spans="1:1">
      <c r="A526" s="99"/>
    </row>
    <row r="529" spans="1:1">
      <c r="A529" s="99"/>
    </row>
    <row r="530" spans="1:1">
      <c r="A530" s="99"/>
    </row>
    <row r="531" spans="1:1">
      <c r="A531" s="98"/>
    </row>
    <row r="533" spans="1:1">
      <c r="A533" s="98"/>
    </row>
    <row r="535" spans="1:1">
      <c r="A535" s="98"/>
    </row>
    <row r="536" spans="1:1">
      <c r="A536" s="98"/>
    </row>
    <row r="539" spans="1:1">
      <c r="A539" s="98"/>
    </row>
    <row r="540" spans="1:1">
      <c r="A540" s="98"/>
    </row>
    <row r="578" spans="1:1">
      <c r="A578" s="98"/>
    </row>
    <row r="616" spans="1:1">
      <c r="A616" s="98"/>
    </row>
    <row r="618" spans="1:1">
      <c r="A618" s="98"/>
    </row>
    <row r="620" spans="1:1">
      <c r="A620" s="98"/>
    </row>
    <row r="621" spans="1:1">
      <c r="A621" s="98"/>
    </row>
    <row r="624" spans="1:1">
      <c r="A624" s="98"/>
    </row>
    <row r="625" spans="1:1">
      <c r="A625" s="98"/>
    </row>
    <row r="626" spans="1:1">
      <c r="A626" s="99"/>
    </row>
    <row r="627" spans="1:1">
      <c r="A627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8"/>
    </row>
    <row r="636" spans="1:1">
      <c r="A636" s="98"/>
    </row>
    <row r="638" spans="1:1">
      <c r="A638" s="98"/>
    </row>
    <row r="639" spans="1:1">
      <c r="A639" s="98"/>
    </row>
    <row r="642" spans="1:1">
      <c r="A642" s="98"/>
    </row>
    <row r="643" spans="1:1">
      <c r="A643" s="98"/>
    </row>
    <row r="645" spans="1:1">
      <c r="A645" s="98"/>
    </row>
    <row r="647" spans="1:1">
      <c r="A647" s="98"/>
    </row>
    <row r="648" spans="1:1">
      <c r="A648" s="98"/>
    </row>
    <row r="651" spans="1:1">
      <c r="A651" s="98"/>
    </row>
    <row r="652" spans="1:1">
      <c r="A652" s="98"/>
    </row>
    <row r="654" spans="1:1">
      <c r="A654" s="98"/>
    </row>
    <row r="655" spans="1:1">
      <c r="A655" s="98"/>
    </row>
    <row r="658" spans="1:1">
      <c r="A658" s="98"/>
    </row>
    <row r="659" spans="1:1">
      <c r="A659" s="98"/>
    </row>
    <row r="737" spans="1:1">
      <c r="A737" s="98"/>
    </row>
    <row r="738" spans="1:1">
      <c r="A738" s="99"/>
    </row>
    <row r="739" spans="1:1">
      <c r="A739" s="99"/>
    </row>
    <row r="742" spans="1:1">
      <c r="A742" s="99"/>
    </row>
    <row r="743" spans="1:1">
      <c r="A743" s="99"/>
    </row>
    <row r="744" spans="1:1">
      <c r="A744" s="98"/>
    </row>
    <row r="745" spans="1:1">
      <c r="A745" s="98"/>
    </row>
    <row r="748" spans="1:1">
      <c r="A748" s="98"/>
    </row>
    <row r="749" spans="1:1">
      <c r="A749" s="98"/>
    </row>
    <row r="751" spans="1:1">
      <c r="A751" s="98"/>
    </row>
    <row r="752" spans="1:1">
      <c r="A752" s="98"/>
    </row>
    <row r="755" spans="1:1">
      <c r="A755" s="98"/>
    </row>
    <row r="756" spans="1:1">
      <c r="A756" s="98"/>
    </row>
    <row r="758" spans="1:1">
      <c r="A758" s="98"/>
    </row>
    <row r="759" spans="1:1">
      <c r="A759" s="98"/>
    </row>
    <row r="762" spans="1:1">
      <c r="A762" s="98"/>
    </row>
    <row r="763" spans="1:1">
      <c r="A763" s="98"/>
    </row>
    <row r="765" spans="1:1">
      <c r="A765" s="98"/>
    </row>
    <row r="766" spans="1:1">
      <c r="A766" s="98"/>
    </row>
    <row r="769" spans="1:1">
      <c r="A769" s="98"/>
    </row>
    <row r="770" spans="1:1">
      <c r="A770" s="98"/>
    </row>
    <row r="772" spans="1:1">
      <c r="A772" s="98"/>
    </row>
    <row r="773" spans="1:1">
      <c r="A773" s="98"/>
    </row>
    <row r="774" spans="1:1">
      <c r="A774" s="98"/>
    </row>
    <row r="777" spans="1:1">
      <c r="A777" s="98"/>
    </row>
    <row r="778" spans="1:1">
      <c r="A778" s="98"/>
    </row>
    <row r="780" spans="1:1">
      <c r="A780" s="98"/>
    </row>
    <row r="781" spans="1:1">
      <c r="A781" s="98"/>
    </row>
    <row r="784" spans="1:1">
      <c r="A784" s="98"/>
    </row>
    <row r="785" spans="1:1">
      <c r="A785" s="98"/>
    </row>
    <row r="863" spans="1:1">
      <c r="A863" s="98"/>
    </row>
    <row r="865" spans="1:1">
      <c r="A865" s="98"/>
    </row>
    <row r="866" spans="1:1">
      <c r="A866" s="98"/>
    </row>
    <row r="869" spans="1:1">
      <c r="A869" s="98"/>
    </row>
    <row r="870" spans="1:1">
      <c r="A870" s="98"/>
    </row>
    <row r="890" spans="1:1">
      <c r="A890" s="98"/>
    </row>
    <row r="896" spans="1:1">
      <c r="A896" s="98"/>
    </row>
    <row r="930" spans="1:1">
      <c r="A930" s="98"/>
    </row>
    <row r="937" spans="1:1">
      <c r="A937" s="99"/>
    </row>
    <row r="939" spans="1:1">
      <c r="A939" s="98"/>
    </row>
    <row r="941" spans="1:1">
      <c r="A941" s="98"/>
    </row>
    <row r="942" spans="1:1">
      <c r="A942" s="98"/>
    </row>
    <row r="945" spans="1:1">
      <c r="A945" s="98"/>
    </row>
    <row r="946" spans="1:1">
      <c r="A946" s="98"/>
    </row>
    <row r="948" spans="1:1">
      <c r="A948" s="98"/>
    </row>
    <row r="949" spans="1:1">
      <c r="A949" s="98"/>
    </row>
    <row r="952" spans="1:1">
      <c r="A952" s="98"/>
    </row>
    <row r="953" spans="1:1">
      <c r="A953" s="98"/>
    </row>
    <row r="1004" spans="1:1">
      <c r="A1004" s="99"/>
    </row>
    <row r="1005" spans="1:1">
      <c r="A1005" s="99"/>
    </row>
    <row r="1006" spans="1:1">
      <c r="A1006" s="99"/>
    </row>
    <row r="1007" spans="1:1">
      <c r="A1007" s="99"/>
    </row>
    <row r="1017" spans="1:1">
      <c r="A1017" s="99"/>
    </row>
    <row r="1023" spans="1:1">
      <c r="A1023" s="99"/>
    </row>
    <row r="1025" spans="1:1">
      <c r="A1025" s="98"/>
    </row>
    <row r="1027" spans="1:1">
      <c r="A1027" s="98"/>
    </row>
    <row r="1028" spans="1:1">
      <c r="A1028" s="98"/>
    </row>
    <row r="1031" spans="1:1">
      <c r="A1031" s="98"/>
    </row>
    <row r="1032" spans="1:1">
      <c r="A1032" s="98"/>
    </row>
    <row r="1034" spans="1:1">
      <c r="A1034" s="98"/>
    </row>
    <row r="1035" spans="1:1">
      <c r="A1035" s="98"/>
    </row>
    <row r="1038" spans="1:1">
      <c r="A1038" s="98"/>
    </row>
    <row r="1039" spans="1:1">
      <c r="A1039" s="98"/>
    </row>
    <row r="1041" spans="1:1">
      <c r="A1041" s="98"/>
    </row>
    <row r="1042" spans="1:1">
      <c r="A1042" s="98"/>
    </row>
    <row r="1045" spans="1:1">
      <c r="A1045" s="98"/>
    </row>
    <row r="1046" spans="1:1">
      <c r="A1046" s="98"/>
    </row>
    <row r="1048" spans="1:1">
      <c r="A1048" s="98"/>
    </row>
    <row r="1049" spans="1:1">
      <c r="A1049" s="98"/>
    </row>
    <row r="1052" spans="1:1">
      <c r="A1052" s="98"/>
    </row>
    <row r="1053" spans="1:1">
      <c r="A1053" s="98"/>
    </row>
    <row r="1055" spans="1:1">
      <c r="A1055" s="98"/>
    </row>
    <row r="1056" spans="1:1">
      <c r="A1056" s="98"/>
    </row>
    <row r="1059" spans="1:1">
      <c r="A1059" s="98"/>
    </row>
    <row r="1060" spans="1:1">
      <c r="A1060" s="98"/>
    </row>
    <row r="1062" spans="1:1">
      <c r="A1062" s="98"/>
    </row>
    <row r="1063" spans="1:1">
      <c r="A1063" s="98"/>
    </row>
    <row r="1066" spans="1:1">
      <c r="A1066" s="98"/>
    </row>
    <row r="1067" spans="1:1">
      <c r="A1067" s="98"/>
    </row>
    <row r="1069" spans="1:1">
      <c r="A1069" s="98"/>
    </row>
    <row r="1070" spans="1:1">
      <c r="A1070" s="98"/>
    </row>
    <row r="1073" spans="1:1">
      <c r="A1073" s="98"/>
    </row>
    <row r="1074" spans="1:1">
      <c r="A1074" s="98"/>
    </row>
    <row r="1076" spans="1:1">
      <c r="A1076" s="98"/>
    </row>
    <row r="1077" spans="1:1">
      <c r="A1077" s="98"/>
    </row>
    <row r="1080" spans="1:1">
      <c r="A1080" s="98"/>
    </row>
    <row r="1081" spans="1:1">
      <c r="A1081" s="98"/>
    </row>
    <row r="1082" spans="1:1">
      <c r="A1082" s="99"/>
    </row>
    <row r="1083" spans="1:1">
      <c r="A1083" s="99"/>
    </row>
    <row r="1086" spans="1:1">
      <c r="A1086" s="99"/>
    </row>
    <row r="1087" spans="1:1">
      <c r="A1087" s="99"/>
    </row>
    <row r="1088" spans="1:1">
      <c r="A1088" s="98"/>
    </row>
    <row r="1089" spans="1:1">
      <c r="A1089" s="98"/>
    </row>
    <row r="1092" spans="1:1">
      <c r="A1092" s="98"/>
    </row>
    <row r="1093" spans="1:1">
      <c r="A1093" s="98"/>
    </row>
    <row r="1111" spans="1:1">
      <c r="A1111" s="98"/>
    </row>
    <row r="1113" spans="1:1">
      <c r="A1113" s="98"/>
    </row>
    <row r="1125" spans="1:1">
      <c r="A1125" s="98"/>
    </row>
    <row r="1132" spans="1:1">
      <c r="A1132" s="98"/>
    </row>
    <row r="1134" spans="1:1">
      <c r="A1134" s="98"/>
    </row>
    <row r="1135" spans="1:1">
      <c r="A1135" s="98"/>
    </row>
    <row r="1138" spans="1:1">
      <c r="A1138" s="98"/>
    </row>
    <row r="1139" spans="1:1">
      <c r="A1139" s="98"/>
    </row>
    <row r="1141" spans="1:1">
      <c r="A1141" s="98"/>
    </row>
    <row r="1142" spans="1:1">
      <c r="A1142" s="98"/>
    </row>
    <row r="1145" spans="1:1">
      <c r="A1145" s="98"/>
    </row>
    <row r="1146" spans="1:1">
      <c r="A1146" s="98"/>
    </row>
    <row r="1147" spans="1:1">
      <c r="A1147" s="98"/>
    </row>
    <row r="1149" spans="1:1">
      <c r="A1149" s="98"/>
    </row>
    <row r="1150" spans="1:1">
      <c r="A1150" s="99"/>
    </row>
    <row r="1151" spans="1:1">
      <c r="A1151" s="99"/>
    </row>
    <row r="1152" spans="1:1">
      <c r="A1152" s="98"/>
    </row>
    <row r="1153" spans="1:1">
      <c r="A1153" s="98"/>
    </row>
    <row r="1154" spans="1:1">
      <c r="A1154" s="98"/>
    </row>
    <row r="1157" spans="1:1">
      <c r="A1157" s="98"/>
    </row>
    <row r="1158" spans="1:1">
      <c r="A1158" s="98"/>
    </row>
    <row r="1160" spans="1:1">
      <c r="A1160" s="98"/>
    </row>
    <row r="1161" spans="1:1">
      <c r="A1161" s="99"/>
    </row>
    <row r="1162" spans="1:1">
      <c r="A1162" s="99"/>
    </row>
    <row r="1163" spans="1:1">
      <c r="A1163" s="98"/>
    </row>
    <row r="1164" spans="1:1">
      <c r="A1164" s="98"/>
    </row>
    <row r="1165" spans="1:1">
      <c r="A1165" s="98"/>
    </row>
    <row r="1170" spans="1:1">
      <c r="A1170" s="98"/>
    </row>
    <row r="1171" spans="1:1">
      <c r="A1171" s="98"/>
    </row>
    <row r="1173" spans="1:1">
      <c r="A1173" s="98"/>
    </row>
    <row r="1175" spans="1:1">
      <c r="A1175" s="98"/>
    </row>
    <row r="1176" spans="1:1">
      <c r="A1176" s="98"/>
    </row>
    <row r="1179" spans="1:1">
      <c r="A1179" s="98"/>
    </row>
    <row r="1180" spans="1:1">
      <c r="A1180" s="98"/>
    </row>
    <row r="1182" spans="1:1">
      <c r="A1182" s="98"/>
    </row>
    <row r="1183" spans="1:1">
      <c r="A1183" s="98"/>
    </row>
    <row r="1186" spans="1:1">
      <c r="A1186" s="98"/>
    </row>
    <row r="1187" spans="1:1">
      <c r="A1187" s="98"/>
    </row>
    <row r="1189" spans="1:1">
      <c r="A1189" s="98"/>
    </row>
    <row r="1191" spans="1:1">
      <c r="A1191" s="98"/>
    </row>
    <row r="1192" spans="1:1">
      <c r="A1192" s="98"/>
    </row>
    <row r="1195" spans="1:1">
      <c r="A1195" s="98"/>
    </row>
    <row r="1196" spans="1:1">
      <c r="A1196" s="98"/>
    </row>
    <row r="1274" spans="1:1">
      <c r="A1274" s="98"/>
    </row>
    <row r="1276" spans="1:1">
      <c r="A1276" s="98"/>
    </row>
    <row r="1277" spans="1:1">
      <c r="A1277" s="98"/>
    </row>
    <row r="1280" spans="1:1">
      <c r="A1280" s="98"/>
    </row>
    <row r="1281" spans="1:1">
      <c r="A1281" s="98"/>
    </row>
    <row r="1283" spans="1:1">
      <c r="A1283" s="98"/>
    </row>
    <row r="1284" spans="1:1">
      <c r="A1284" s="98"/>
    </row>
    <row r="1287" spans="1:1">
      <c r="A1287" s="98"/>
    </row>
    <row r="1288" spans="1:1">
      <c r="A1288" s="98"/>
    </row>
    <row r="1366" spans="1:1">
      <c r="A1366" s="98"/>
    </row>
    <row r="1368" spans="1:1">
      <c r="A1368" s="98"/>
    </row>
    <row r="1369" spans="1:1">
      <c r="A1369" s="98"/>
    </row>
    <row r="1372" spans="1:1">
      <c r="A1372" s="98"/>
    </row>
    <row r="1373" spans="1:1">
      <c r="A1373" s="98"/>
    </row>
    <row r="1375" spans="1:1">
      <c r="A1375" s="98"/>
    </row>
    <row r="1376" spans="1:1">
      <c r="A1376" s="98"/>
    </row>
    <row r="1379" spans="1:1">
      <c r="A1379" s="98"/>
    </row>
    <row r="1380" spans="1:1">
      <c r="A1380" s="98"/>
    </row>
    <row r="1382" spans="1:1">
      <c r="A1382" s="98"/>
    </row>
    <row r="1383" spans="1:1">
      <c r="A1383" s="98"/>
    </row>
    <row r="1386" spans="1:1">
      <c r="A1386" s="98"/>
    </row>
    <row r="1387" spans="1:1">
      <c r="A1387" s="98"/>
    </row>
    <row r="1388" spans="1:1">
      <c r="A1388" s="99"/>
    </row>
    <row r="1389" spans="1:1">
      <c r="A1389" s="99"/>
    </row>
    <row r="1392" spans="1:1">
      <c r="A1392" s="99"/>
    </row>
    <row r="1393" spans="1:1">
      <c r="A1393" s="99"/>
    </row>
    <row r="1394" spans="1:1">
      <c r="A1394" s="98"/>
    </row>
    <row r="1395" spans="1:1">
      <c r="A1395" s="98"/>
    </row>
    <row r="1398" spans="1:1">
      <c r="A1398" s="98"/>
    </row>
    <row r="1399" spans="1:1">
      <c r="A1399" s="98"/>
    </row>
    <row r="1401" spans="1:1">
      <c r="A1401" s="98"/>
    </row>
    <row r="1402" spans="1:1">
      <c r="A1402" s="98"/>
    </row>
    <row r="1405" spans="1:1">
      <c r="A1405" s="98"/>
    </row>
    <row r="1406" spans="1:1">
      <c r="A1406" s="98"/>
    </row>
    <row r="1408" spans="1:1">
      <c r="A1408" s="98"/>
    </row>
    <row r="1409" spans="1:1">
      <c r="A1409" s="98"/>
    </row>
    <row r="1412" spans="1:1">
      <c r="A1412" s="98"/>
    </row>
    <row r="1413" spans="1:1">
      <c r="A1413" s="9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1F9A-870F-3B49-9B24-2152E7736CBF}">
  <dimension ref="A1:AS583"/>
  <sheetViews>
    <sheetView workbookViewId="0">
      <selection sqref="A1:XFD1048576"/>
    </sheetView>
  </sheetViews>
  <sheetFormatPr baseColWidth="10" defaultColWidth="8.83203125" defaultRowHeight="16"/>
  <cols>
    <col min="1" max="1" width="58.1640625" bestFit="1" customWidth="1"/>
  </cols>
  <sheetData>
    <row r="1" spans="1:42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7"/>
    </row>
    <row r="2" spans="1:42">
      <c r="A2" s="6" t="s">
        <v>103</v>
      </c>
      <c r="B2" s="10" t="s">
        <v>0</v>
      </c>
      <c r="C2" s="10" t="s">
        <v>66</v>
      </c>
      <c r="D2" s="10" t="s">
        <v>67</v>
      </c>
      <c r="E2" s="10" t="s">
        <v>68</v>
      </c>
      <c r="F2" s="10" t="s">
        <v>387</v>
      </c>
      <c r="G2" s="10" t="s">
        <v>69</v>
      </c>
      <c r="H2" s="10" t="s">
        <v>70</v>
      </c>
      <c r="I2" s="10" t="s">
        <v>71</v>
      </c>
      <c r="J2" s="10" t="s">
        <v>72</v>
      </c>
      <c r="K2" s="10" t="s">
        <v>73</v>
      </c>
      <c r="L2" s="10" t="s">
        <v>74</v>
      </c>
      <c r="M2" s="10" t="s">
        <v>75</v>
      </c>
      <c r="N2" s="10" t="s">
        <v>76</v>
      </c>
      <c r="O2" s="10" t="s">
        <v>77</v>
      </c>
      <c r="P2" s="10" t="s">
        <v>78</v>
      </c>
      <c r="Q2" s="10" t="s">
        <v>79</v>
      </c>
      <c r="R2" s="10" t="s">
        <v>80</v>
      </c>
      <c r="S2" s="10" t="s">
        <v>81</v>
      </c>
      <c r="T2" s="10" t="s">
        <v>82</v>
      </c>
      <c r="U2" s="10" t="s">
        <v>83</v>
      </c>
      <c r="V2" s="10" t="s">
        <v>84</v>
      </c>
      <c r="W2" s="10" t="s">
        <v>85</v>
      </c>
      <c r="X2" s="10" t="s">
        <v>86</v>
      </c>
      <c r="Y2" s="10" t="s">
        <v>87</v>
      </c>
      <c r="Z2" s="10" t="s">
        <v>88</v>
      </c>
      <c r="AA2" s="3"/>
      <c r="AB2" s="10" t="s">
        <v>93</v>
      </c>
      <c r="AC2" s="10" t="s">
        <v>94</v>
      </c>
      <c r="AD2" s="10" t="s">
        <v>95</v>
      </c>
      <c r="AE2" s="10" t="s">
        <v>96</v>
      </c>
      <c r="AF2" s="10" t="s">
        <v>388</v>
      </c>
      <c r="AG2" s="3"/>
      <c r="AH2" s="10" t="s">
        <v>411</v>
      </c>
      <c r="AI2" s="10" t="s">
        <v>101</v>
      </c>
      <c r="AJ2" s="10" t="s">
        <v>339</v>
      </c>
      <c r="AK2" s="10" t="s">
        <v>340</v>
      </c>
      <c r="AL2" s="10" t="s">
        <v>341</v>
      </c>
      <c r="AM2" s="3"/>
      <c r="AN2" s="3"/>
      <c r="AO2" s="3"/>
      <c r="AP2" s="68"/>
    </row>
    <row r="3" spans="1:42">
      <c r="A3" s="6" t="s">
        <v>412</v>
      </c>
      <c r="B3" s="69">
        <v>2</v>
      </c>
      <c r="C3" s="69">
        <v>3</v>
      </c>
      <c r="D3" s="69">
        <v>3</v>
      </c>
      <c r="E3" s="69">
        <v>4</v>
      </c>
      <c r="F3" s="69">
        <v>4</v>
      </c>
      <c r="G3" s="69">
        <v>5</v>
      </c>
      <c r="H3" s="69">
        <v>3</v>
      </c>
      <c r="I3" s="69">
        <v>3</v>
      </c>
      <c r="J3" s="69">
        <v>3</v>
      </c>
      <c r="K3" s="69">
        <v>4</v>
      </c>
      <c r="L3" s="69">
        <v>3</v>
      </c>
      <c r="M3" s="69">
        <v>2</v>
      </c>
      <c r="N3" s="69">
        <v>2</v>
      </c>
      <c r="O3" s="69">
        <v>2</v>
      </c>
      <c r="P3" s="69">
        <v>2</v>
      </c>
      <c r="Q3" s="69">
        <v>4</v>
      </c>
      <c r="R3" s="69">
        <v>5</v>
      </c>
      <c r="S3" s="69">
        <v>2</v>
      </c>
      <c r="T3" s="10" t="s">
        <v>413</v>
      </c>
      <c r="U3" s="10" t="s">
        <v>413</v>
      </c>
      <c r="V3" s="10" t="s">
        <v>413</v>
      </c>
      <c r="W3" s="69">
        <v>1</v>
      </c>
      <c r="X3" s="69">
        <v>1</v>
      </c>
      <c r="Y3" s="69">
        <v>1</v>
      </c>
      <c r="Z3" s="69">
        <v>1</v>
      </c>
      <c r="AA3" s="3"/>
      <c r="AB3" s="69">
        <v>5</v>
      </c>
      <c r="AC3" s="69">
        <v>5</v>
      </c>
      <c r="AD3" s="69">
        <v>5</v>
      </c>
      <c r="AE3" s="69">
        <v>4</v>
      </c>
      <c r="AF3" s="70"/>
      <c r="AG3" s="3"/>
      <c r="AH3" s="69">
        <v>1</v>
      </c>
      <c r="AI3" s="69">
        <v>2</v>
      </c>
      <c r="AJ3" s="69">
        <v>3</v>
      </c>
      <c r="AK3" s="69">
        <v>4</v>
      </c>
      <c r="AL3" s="69">
        <v>5</v>
      </c>
      <c r="AM3" s="3"/>
      <c r="AN3" s="71" t="s">
        <v>414</v>
      </c>
      <c r="AO3" s="72"/>
      <c r="AP3" s="73"/>
    </row>
    <row r="4" spans="1:42" ht="28">
      <c r="A4" s="74"/>
      <c r="B4" s="1" t="s">
        <v>1</v>
      </c>
      <c r="C4" s="1" t="s">
        <v>3</v>
      </c>
      <c r="D4" s="1" t="s">
        <v>4</v>
      </c>
      <c r="E4" s="1" t="s">
        <v>5</v>
      </c>
      <c r="F4" s="1" t="s">
        <v>389</v>
      </c>
      <c r="G4" s="1" t="s">
        <v>89</v>
      </c>
      <c r="H4" s="1" t="s">
        <v>7</v>
      </c>
      <c r="I4" s="1" t="s">
        <v>8</v>
      </c>
      <c r="J4" s="1" t="s">
        <v>90</v>
      </c>
      <c r="K4" s="1" t="s">
        <v>91</v>
      </c>
      <c r="L4" s="1" t="s">
        <v>13</v>
      </c>
      <c r="M4" s="1" t="s">
        <v>92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5"/>
      <c r="AB4" s="1" t="s">
        <v>97</v>
      </c>
      <c r="AC4" s="1" t="s">
        <v>98</v>
      </c>
      <c r="AD4" s="1" t="s">
        <v>99</v>
      </c>
      <c r="AE4" s="1" t="s">
        <v>100</v>
      </c>
      <c r="AF4" s="75"/>
      <c r="AG4" s="5"/>
      <c r="AH4" s="1" t="s">
        <v>415</v>
      </c>
      <c r="AI4" s="1" t="s">
        <v>102</v>
      </c>
      <c r="AJ4" s="1" t="s">
        <v>342</v>
      </c>
      <c r="AK4" s="1" t="s">
        <v>343</v>
      </c>
      <c r="AL4" s="1" t="s">
        <v>344</v>
      </c>
      <c r="AM4" s="5"/>
      <c r="AN4" s="1" t="s">
        <v>400</v>
      </c>
      <c r="AO4" s="1" t="s">
        <v>416</v>
      </c>
      <c r="AP4" s="76" t="s">
        <v>417</v>
      </c>
    </row>
    <row r="5" spans="1:42">
      <c r="A5" s="7" t="s">
        <v>418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>
        <v>0</v>
      </c>
      <c r="AP5" s="68"/>
    </row>
    <row r="6" spans="1:42">
      <c r="A6" s="7" t="s">
        <v>419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2">
        <v>0</v>
      </c>
      <c r="AP6" s="77"/>
    </row>
    <row r="7" spans="1:42">
      <c r="A7" s="7" t="s">
        <v>420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>
        <v>0</v>
      </c>
      <c r="AP7" s="68"/>
    </row>
    <row r="8" spans="1:42">
      <c r="A8" s="7" t="s">
        <v>421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2">
        <v>0</v>
      </c>
      <c r="AP8" s="77"/>
    </row>
    <row r="9" spans="1:42">
      <c r="A9" s="7" t="s">
        <v>104</v>
      </c>
      <c r="B9" s="3"/>
      <c r="C9" s="4">
        <v>0.13500000000000001</v>
      </c>
      <c r="D9" s="4">
        <v>0.25800000000000001</v>
      </c>
      <c r="E9" s="3"/>
      <c r="F9" s="3"/>
      <c r="G9" s="3"/>
      <c r="H9" s="4">
        <v>0.254</v>
      </c>
      <c r="I9" s="4">
        <v>0.153</v>
      </c>
      <c r="J9" s="4">
        <v>0.113</v>
      </c>
      <c r="K9" s="3"/>
      <c r="L9" s="3"/>
      <c r="M9" s="3"/>
      <c r="N9" s="3"/>
      <c r="O9" s="3"/>
      <c r="P9" s="3"/>
      <c r="Q9" s="3"/>
      <c r="R9" s="3"/>
      <c r="S9" s="4">
        <v>0.27</v>
      </c>
      <c r="T9" s="4">
        <v>0.47799999999999998</v>
      </c>
      <c r="U9" s="4">
        <v>0.223</v>
      </c>
      <c r="V9" s="4">
        <v>0.191</v>
      </c>
      <c r="W9" s="4">
        <v>0.254</v>
      </c>
      <c r="X9" s="4">
        <v>0.13</v>
      </c>
      <c r="Y9" s="4">
        <v>0.25900000000000001</v>
      </c>
      <c r="Z9" s="4">
        <v>0.26600000000000001</v>
      </c>
      <c r="AA9" s="3"/>
      <c r="AB9" s="3"/>
      <c r="AC9" s="3"/>
      <c r="AD9" s="3"/>
      <c r="AE9" s="4">
        <v>0.26900000000000002</v>
      </c>
      <c r="AF9" s="3"/>
      <c r="AG9" s="3"/>
      <c r="AH9" s="4">
        <v>0.128</v>
      </c>
      <c r="AI9" s="3"/>
      <c r="AJ9" s="3"/>
      <c r="AK9" s="3"/>
      <c r="AL9" s="3"/>
      <c r="AM9" s="3"/>
      <c r="AN9" s="4">
        <v>0.128</v>
      </c>
      <c r="AO9" s="3"/>
      <c r="AP9" s="78">
        <v>0</v>
      </c>
    </row>
    <row r="10" spans="1:42">
      <c r="A10" s="7" t="s">
        <v>422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2">
        <v>0</v>
      </c>
      <c r="AP10" s="77"/>
    </row>
    <row r="11" spans="1:42">
      <c r="A11" s="7" t="s">
        <v>423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>
        <v>0</v>
      </c>
      <c r="AP11" s="68"/>
    </row>
    <row r="12" spans="1:42">
      <c r="A12" s="7" t="s">
        <v>424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2">
        <v>0</v>
      </c>
      <c r="AP12" s="77"/>
    </row>
    <row r="13" spans="1:42">
      <c r="A13" s="7" t="s">
        <v>425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4">
        <v>0</v>
      </c>
      <c r="AP13" s="68"/>
    </row>
    <row r="14" spans="1:42">
      <c r="A14" s="7" t="s">
        <v>426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2">
        <v>0</v>
      </c>
      <c r="AP14" s="77"/>
    </row>
    <row r="15" spans="1:42">
      <c r="A15" s="7" t="s">
        <v>427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4">
        <v>0</v>
      </c>
      <c r="AP15" s="68"/>
    </row>
    <row r="16" spans="1:42">
      <c r="A16" s="7" t="s">
        <v>428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2">
        <v>0</v>
      </c>
      <c r="AP16" s="77"/>
    </row>
    <row r="17" spans="1:42">
      <c r="A17" s="7" t="s">
        <v>429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4">
        <v>0</v>
      </c>
      <c r="AP17" s="68"/>
    </row>
    <row r="18" spans="1:42">
      <c r="A18" s="7" t="s">
        <v>430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2">
        <v>0</v>
      </c>
      <c r="AP18" s="77"/>
    </row>
    <row r="19" spans="1:42">
      <c r="A19" s="7" t="s">
        <v>431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4">
        <v>0</v>
      </c>
      <c r="AP19" s="68"/>
    </row>
    <row r="20" spans="1:42">
      <c r="A20" s="7" t="s">
        <v>432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2">
        <v>0</v>
      </c>
      <c r="AP20" s="77"/>
    </row>
    <row r="21" spans="1:42">
      <c r="A21" s="7" t="s">
        <v>105</v>
      </c>
      <c r="B21" s="3"/>
      <c r="C21" s="4">
        <v>5.79E-2</v>
      </c>
      <c r="D21" s="4">
        <v>4.3499999999999997E-2</v>
      </c>
      <c r="E21" s="3"/>
      <c r="F21" s="3"/>
      <c r="G21" s="3"/>
      <c r="H21" s="4">
        <v>3.7900000000000003E-2</v>
      </c>
      <c r="I21" s="4">
        <v>4.6300000000000001E-2</v>
      </c>
      <c r="J21" s="4">
        <v>3.3799999999999997E-2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4">
        <v>0</v>
      </c>
      <c r="AP21" s="68"/>
    </row>
    <row r="22" spans="1:42">
      <c r="A22" s="7" t="s">
        <v>433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2">
        <v>0</v>
      </c>
      <c r="AP22" s="77"/>
    </row>
    <row r="23" spans="1:42">
      <c r="A23" s="7" t="s">
        <v>434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4">
        <v>0</v>
      </c>
      <c r="AP23" s="68"/>
    </row>
    <row r="24" spans="1:42">
      <c r="A24" s="7" t="s">
        <v>435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2">
        <v>0</v>
      </c>
      <c r="AP24" s="77"/>
    </row>
    <row r="25" spans="1:42">
      <c r="A25" s="7" t="s">
        <v>436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4">
        <v>0</v>
      </c>
      <c r="AP25" s="68"/>
    </row>
    <row r="26" spans="1:42">
      <c r="A26" s="7" t="s">
        <v>106</v>
      </c>
      <c r="B26" s="2">
        <v>0.13900000000000001</v>
      </c>
      <c r="C26" s="2">
        <v>0.158</v>
      </c>
      <c r="D26" s="2">
        <v>8.8900000000000007E-2</v>
      </c>
      <c r="E26" s="2">
        <v>0.12</v>
      </c>
      <c r="F26" s="2">
        <v>9.1399999999999995E-2</v>
      </c>
      <c r="G26" s="2">
        <v>8.6499999999999994E-2</v>
      </c>
      <c r="H26" s="2">
        <v>0.20799999999999999</v>
      </c>
      <c r="I26" s="2">
        <v>0.16400000000000001</v>
      </c>
      <c r="J26" s="2">
        <v>0.155</v>
      </c>
      <c r="K26" s="2">
        <v>0.10299999999999999</v>
      </c>
      <c r="L26" s="2">
        <v>0.128</v>
      </c>
      <c r="M26" s="2">
        <v>0.13700000000000001</v>
      </c>
      <c r="N26" s="2">
        <v>0.123</v>
      </c>
      <c r="O26" s="2">
        <v>0.123</v>
      </c>
      <c r="P26" s="2">
        <v>0.159</v>
      </c>
      <c r="Q26" s="2">
        <v>0.10299999999999999</v>
      </c>
      <c r="R26" s="2">
        <v>0.11700000000000001</v>
      </c>
      <c r="S26" s="2">
        <v>0.16200000000000001</v>
      </c>
      <c r="T26" s="2">
        <v>9.3299999999999994E-2</v>
      </c>
      <c r="U26" s="2">
        <v>0.129</v>
      </c>
      <c r="V26" s="2">
        <v>0.186</v>
      </c>
      <c r="W26" s="2">
        <v>0.122</v>
      </c>
      <c r="X26" s="2">
        <v>9.0700000000000003E-2</v>
      </c>
      <c r="Y26" s="2">
        <v>0.183</v>
      </c>
      <c r="Z26" s="2">
        <v>0.157</v>
      </c>
      <c r="AA26" s="5"/>
      <c r="AB26" s="5"/>
      <c r="AC26" s="5"/>
      <c r="AD26" s="5"/>
      <c r="AE26" s="2">
        <v>6.8400000000000002E-2</v>
      </c>
      <c r="AF26" s="5"/>
      <c r="AG26" s="5"/>
      <c r="AH26" s="2">
        <v>0.10199999999999999</v>
      </c>
      <c r="AI26" s="2">
        <v>0.16</v>
      </c>
      <c r="AJ26" s="2">
        <v>0.115</v>
      </c>
      <c r="AK26" s="2">
        <v>0.11899999999999999</v>
      </c>
      <c r="AL26" s="5"/>
      <c r="AM26" s="5"/>
      <c r="AN26" s="2">
        <v>0.124</v>
      </c>
      <c r="AO26" s="2">
        <v>2.52E-2</v>
      </c>
      <c r="AP26" s="79">
        <v>20.3</v>
      </c>
    </row>
    <row r="27" spans="1:42">
      <c r="A27" s="7" t="s">
        <v>437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4">
        <v>0</v>
      </c>
      <c r="AP27" s="68"/>
    </row>
    <row r="28" spans="1:42">
      <c r="A28" s="7" t="s">
        <v>438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2">
        <v>0</v>
      </c>
      <c r="AP28" s="77"/>
    </row>
    <row r="29" spans="1:42">
      <c r="A29" s="7" t="s">
        <v>107</v>
      </c>
      <c r="B29" s="4">
        <v>5.6300000000000003E-2</v>
      </c>
      <c r="C29" s="4">
        <v>5.21E-2</v>
      </c>
      <c r="D29" s="4">
        <v>3.7199999999999997E-2</v>
      </c>
      <c r="E29" s="3"/>
      <c r="F29" s="3"/>
      <c r="G29" s="4">
        <v>7.0999999999999994E-2</v>
      </c>
      <c r="H29" s="4">
        <v>8.6900000000000005E-2</v>
      </c>
      <c r="I29" s="4">
        <v>6.4799999999999996E-2</v>
      </c>
      <c r="J29" s="4">
        <v>8.6199999999999999E-2</v>
      </c>
      <c r="K29" s="3"/>
      <c r="L29" s="3"/>
      <c r="M29" s="4">
        <v>5.3600000000000002E-2</v>
      </c>
      <c r="N29" s="4">
        <v>2.3599999999999999E-2</v>
      </c>
      <c r="O29" s="4">
        <v>5.5899999999999998E-2</v>
      </c>
      <c r="P29" s="4">
        <v>0.109</v>
      </c>
      <c r="Q29" s="3"/>
      <c r="R29" s="4">
        <v>4.9799999999999997E-2</v>
      </c>
      <c r="S29" s="4">
        <v>5.6800000000000003E-2</v>
      </c>
      <c r="T29" s="4">
        <v>9.3399999999999997E-2</v>
      </c>
      <c r="U29" s="4">
        <v>6.5600000000000006E-2</v>
      </c>
      <c r="V29" s="4">
        <v>3.8300000000000001E-2</v>
      </c>
      <c r="W29" s="4">
        <v>4.1799999999999997E-2</v>
      </c>
      <c r="X29" s="4">
        <v>3.0599999999999999E-2</v>
      </c>
      <c r="Y29" s="4">
        <v>4.2900000000000001E-2</v>
      </c>
      <c r="Z29" s="4">
        <v>7.5999999999999998E-2</v>
      </c>
      <c r="AA29" s="3"/>
      <c r="AB29" s="4">
        <v>0.128</v>
      </c>
      <c r="AC29" s="4">
        <v>3.85E-2</v>
      </c>
      <c r="AD29" s="4">
        <v>5.0799999999999998E-2</v>
      </c>
      <c r="AE29" s="4">
        <v>8.8800000000000004E-2</v>
      </c>
      <c r="AF29" s="3"/>
      <c r="AG29" s="3"/>
      <c r="AH29" s="4">
        <v>6.9599999999999995E-2</v>
      </c>
      <c r="AI29" s="4">
        <v>7.0199999999999999E-2</v>
      </c>
      <c r="AJ29" s="3"/>
      <c r="AK29" s="3"/>
      <c r="AL29" s="4">
        <v>3.15E-2</v>
      </c>
      <c r="AM29" s="3"/>
      <c r="AN29" s="4">
        <v>5.7099999999999998E-2</v>
      </c>
      <c r="AO29" s="4">
        <v>2.2200000000000001E-2</v>
      </c>
      <c r="AP29" s="78">
        <v>38.799999999999997</v>
      </c>
    </row>
    <row r="30" spans="1:42">
      <c r="A30" s="7" t="s">
        <v>108</v>
      </c>
      <c r="B30" s="2">
        <v>1.19</v>
      </c>
      <c r="C30" s="2">
        <v>0.113</v>
      </c>
      <c r="D30" s="2">
        <v>8.0699999999999994E-2</v>
      </c>
      <c r="E30" s="2">
        <v>4.7</v>
      </c>
      <c r="F30" s="2">
        <v>0.80400000000000005</v>
      </c>
      <c r="G30" s="2">
        <v>5.05</v>
      </c>
      <c r="H30" s="2">
        <v>6.4500000000000002E-2</v>
      </c>
      <c r="I30" s="2">
        <v>6.4000000000000001E-2</v>
      </c>
      <c r="J30" s="5"/>
      <c r="K30" s="2">
        <v>0.83</v>
      </c>
      <c r="L30" s="5"/>
      <c r="M30" s="2">
        <v>1.6</v>
      </c>
      <c r="N30" s="2">
        <v>1.87</v>
      </c>
      <c r="O30" s="2">
        <v>1.96</v>
      </c>
      <c r="P30" s="2">
        <v>0.94299999999999995</v>
      </c>
      <c r="Q30" s="2">
        <v>1.38</v>
      </c>
      <c r="R30" s="2">
        <v>5.74</v>
      </c>
      <c r="S30" s="2">
        <v>5.6399999999999999E-2</v>
      </c>
      <c r="T30" s="2">
        <v>0.19900000000000001</v>
      </c>
      <c r="U30" s="2">
        <v>5.0799999999999998E-2</v>
      </c>
      <c r="V30" s="2">
        <v>3.49E-2</v>
      </c>
      <c r="W30" s="2">
        <v>3.32E-2</v>
      </c>
      <c r="X30" s="2">
        <v>2.1899999999999999E-2</v>
      </c>
      <c r="Y30" s="2">
        <v>4.2500000000000003E-2</v>
      </c>
      <c r="Z30" s="2">
        <v>3.5400000000000001E-2</v>
      </c>
      <c r="AA30" s="5"/>
      <c r="AB30" s="2">
        <v>0.69</v>
      </c>
      <c r="AC30" s="2">
        <v>2.1</v>
      </c>
      <c r="AD30" s="2">
        <v>0.72</v>
      </c>
      <c r="AE30" s="2">
        <v>0.86499999999999999</v>
      </c>
      <c r="AF30" s="5"/>
      <c r="AG30" s="5"/>
      <c r="AH30" s="2">
        <v>0.13100000000000001</v>
      </c>
      <c r="AI30" s="2">
        <v>0.89400000000000002</v>
      </c>
      <c r="AJ30" s="5"/>
      <c r="AK30" s="2">
        <v>0.68799999999999994</v>
      </c>
      <c r="AL30" s="2">
        <v>6.16</v>
      </c>
      <c r="AM30" s="5"/>
      <c r="AN30" s="2">
        <v>1.97</v>
      </c>
      <c r="AO30" s="2">
        <v>2.81</v>
      </c>
      <c r="AP30" s="79">
        <v>143</v>
      </c>
    </row>
    <row r="31" spans="1:42">
      <c r="A31" s="7" t="s">
        <v>109</v>
      </c>
      <c r="B31" s="3"/>
      <c r="C31" s="4">
        <v>0.42199999999999999</v>
      </c>
      <c r="D31" s="4">
        <v>0.54700000000000004</v>
      </c>
      <c r="E31" s="3"/>
      <c r="F31" s="3"/>
      <c r="G31" s="3"/>
      <c r="H31" s="4">
        <v>0.31</v>
      </c>
      <c r="I31" s="4">
        <v>0.253</v>
      </c>
      <c r="J31" s="3"/>
      <c r="K31" s="3"/>
      <c r="L31" s="3"/>
      <c r="M31" s="3"/>
      <c r="N31" s="3"/>
      <c r="O31" s="3"/>
      <c r="P31" s="3"/>
      <c r="Q31" s="3"/>
      <c r="R31" s="3"/>
      <c r="S31" s="4">
        <v>0.109</v>
      </c>
      <c r="T31" s="4">
        <v>0.129</v>
      </c>
      <c r="U31" s="4">
        <v>0.58599999999999997</v>
      </c>
      <c r="V31" s="4">
        <v>7.0099999999999996E-2</v>
      </c>
      <c r="W31" s="4">
        <v>0.29599999999999999</v>
      </c>
      <c r="X31" s="4">
        <v>9.8299999999999998E-2</v>
      </c>
      <c r="Y31" s="4">
        <v>0.16400000000000001</v>
      </c>
      <c r="Z31" s="4">
        <v>8.5900000000000004E-2</v>
      </c>
      <c r="AA31" s="3"/>
      <c r="AB31" s="3"/>
      <c r="AC31" s="3"/>
      <c r="AD31" s="3"/>
      <c r="AE31" s="3"/>
      <c r="AF31" s="3"/>
      <c r="AG31" s="3"/>
      <c r="AH31" s="4">
        <v>0.28100000000000003</v>
      </c>
      <c r="AI31" s="3"/>
      <c r="AJ31" s="3"/>
      <c r="AK31" s="3"/>
      <c r="AL31" s="3"/>
      <c r="AM31" s="3"/>
      <c r="AN31" s="4">
        <v>0.28100000000000003</v>
      </c>
      <c r="AO31" s="3"/>
      <c r="AP31" s="78">
        <v>0</v>
      </c>
    </row>
    <row r="32" spans="1:42">
      <c r="A32" s="7" t="s">
        <v>110</v>
      </c>
      <c r="B32" s="5"/>
      <c r="C32" s="2">
        <v>4.1000000000000002E-2</v>
      </c>
      <c r="D32" s="2">
        <v>2.7900000000000001E-2</v>
      </c>
      <c r="E32" s="5"/>
      <c r="F32" s="5"/>
      <c r="G32" s="5"/>
      <c r="H32" s="2">
        <v>8.3599999999999994E-3</v>
      </c>
      <c r="I32" s="2">
        <v>1.4E-2</v>
      </c>
      <c r="J32" s="5"/>
      <c r="K32" s="5"/>
      <c r="L32" s="5"/>
      <c r="M32" s="5"/>
      <c r="N32" s="5"/>
      <c r="O32" s="5"/>
      <c r="P32" s="2">
        <v>4.3E-3</v>
      </c>
      <c r="Q32" s="5"/>
      <c r="R32" s="5"/>
      <c r="S32" s="5"/>
      <c r="T32" s="2">
        <v>2.5399999999999999E-2</v>
      </c>
      <c r="U32" s="2">
        <v>1.6400000000000001E-2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2">
        <v>7.9500000000000001E-2</v>
      </c>
      <c r="AK32" s="5"/>
      <c r="AL32" s="5"/>
      <c r="AM32" s="5"/>
      <c r="AN32" s="2">
        <v>7.9500000000000001E-2</v>
      </c>
      <c r="AO32" s="5"/>
      <c r="AP32" s="79">
        <v>0</v>
      </c>
    </row>
    <row r="33" spans="1:42">
      <c r="A33" s="7" t="s">
        <v>111</v>
      </c>
      <c r="B33" s="4">
        <v>0.112</v>
      </c>
      <c r="C33" s="4">
        <v>5.8900000000000001E-2</v>
      </c>
      <c r="D33" s="4">
        <v>5.4899999999999997E-2</v>
      </c>
      <c r="E33" s="4">
        <v>0.127</v>
      </c>
      <c r="F33" s="4">
        <v>0.17899999999999999</v>
      </c>
      <c r="G33" s="4">
        <v>0.108</v>
      </c>
      <c r="H33" s="4">
        <v>6.8599999999999994E-2</v>
      </c>
      <c r="I33" s="4">
        <v>5.5199999999999999E-2</v>
      </c>
      <c r="J33" s="4">
        <v>5.3900000000000003E-2</v>
      </c>
      <c r="K33" s="4">
        <v>8.09E-2</v>
      </c>
      <c r="L33" s="3"/>
      <c r="M33" s="4">
        <v>9.0999999999999998E-2</v>
      </c>
      <c r="N33" s="4">
        <v>8.9300000000000004E-2</v>
      </c>
      <c r="O33" s="4">
        <v>9.3399999999999997E-2</v>
      </c>
      <c r="P33" s="4">
        <v>0.11700000000000001</v>
      </c>
      <c r="Q33" s="4">
        <v>7.2099999999999997E-2</v>
      </c>
      <c r="R33" s="4">
        <v>8.8300000000000003E-2</v>
      </c>
      <c r="S33" s="4">
        <v>7.8299999999999995E-2</v>
      </c>
      <c r="T33" s="4">
        <v>6.0400000000000002E-2</v>
      </c>
      <c r="U33" s="4">
        <v>6.5799999999999997E-2</v>
      </c>
      <c r="V33" s="4">
        <v>3.9800000000000002E-2</v>
      </c>
      <c r="W33" s="4">
        <v>5.7200000000000001E-2</v>
      </c>
      <c r="X33" s="4">
        <v>2.92E-2</v>
      </c>
      <c r="Y33" s="4">
        <v>6.8099999999999994E-2</v>
      </c>
      <c r="Z33" s="4">
        <v>6.7400000000000002E-2</v>
      </c>
      <c r="AA33" s="3"/>
      <c r="AB33" s="4">
        <v>9.3700000000000006E-2</v>
      </c>
      <c r="AC33" s="4">
        <v>7.0499999999999993E-2</v>
      </c>
      <c r="AD33" s="4">
        <v>4.7500000000000001E-2</v>
      </c>
      <c r="AE33" s="4">
        <v>0.20200000000000001</v>
      </c>
      <c r="AF33" s="3"/>
      <c r="AG33" s="3"/>
      <c r="AH33" s="3"/>
      <c r="AI33" s="4">
        <v>6.8599999999999994E-2</v>
      </c>
      <c r="AJ33" s="3"/>
      <c r="AK33" s="4">
        <v>6.1899999999999997E-2</v>
      </c>
      <c r="AL33" s="4">
        <v>7.8E-2</v>
      </c>
      <c r="AM33" s="3"/>
      <c r="AN33" s="4">
        <v>6.9500000000000006E-2</v>
      </c>
      <c r="AO33" s="4">
        <v>8.0999999999999996E-3</v>
      </c>
      <c r="AP33" s="78">
        <v>11.6</v>
      </c>
    </row>
    <row r="34" spans="1:42">
      <c r="A34" s="7" t="s">
        <v>112</v>
      </c>
      <c r="B34" s="2">
        <v>1.4500000000000001E-2</v>
      </c>
      <c r="C34" s="2">
        <v>0.496</v>
      </c>
      <c r="D34" s="2">
        <v>0.499</v>
      </c>
      <c r="E34" s="5"/>
      <c r="F34" s="5"/>
      <c r="G34" s="5"/>
      <c r="H34" s="2">
        <v>0.40600000000000003</v>
      </c>
      <c r="I34" s="2">
        <v>0.35799999999999998</v>
      </c>
      <c r="J34" s="2">
        <v>0.5</v>
      </c>
      <c r="K34" s="5"/>
      <c r="L34" s="2">
        <v>0.64400000000000002</v>
      </c>
      <c r="M34" s="2">
        <v>7.2499999999999995E-2</v>
      </c>
      <c r="N34" s="2">
        <v>3.9899999999999998E-2</v>
      </c>
      <c r="O34" s="2">
        <v>2.41E-2</v>
      </c>
      <c r="P34" s="2">
        <v>1.0800000000000001E-2</v>
      </c>
      <c r="Q34" s="5"/>
      <c r="R34" s="5"/>
      <c r="S34" s="2">
        <v>5.2999999999999999E-2</v>
      </c>
      <c r="T34" s="2">
        <v>0.121</v>
      </c>
      <c r="U34" s="2">
        <v>0.1</v>
      </c>
      <c r="V34" s="5"/>
      <c r="W34" s="2">
        <v>0.108</v>
      </c>
      <c r="X34" s="2">
        <v>3.1099999999999999E-2</v>
      </c>
      <c r="Y34" s="2">
        <v>5.3400000000000003E-2</v>
      </c>
      <c r="Z34" s="2">
        <v>3.7600000000000001E-2</v>
      </c>
      <c r="AA34" s="5"/>
      <c r="AB34" s="5"/>
      <c r="AC34" s="5"/>
      <c r="AD34" s="5"/>
      <c r="AE34" s="2">
        <v>0.34100000000000003</v>
      </c>
      <c r="AF34" s="5"/>
      <c r="AG34" s="5"/>
      <c r="AH34" s="5"/>
      <c r="AI34" s="2">
        <v>0.108</v>
      </c>
      <c r="AJ34" s="2">
        <v>0.78700000000000003</v>
      </c>
      <c r="AK34" s="2">
        <v>6.5699999999999995E-2</v>
      </c>
      <c r="AL34" s="5"/>
      <c r="AM34" s="5"/>
      <c r="AN34" s="2">
        <v>0.32</v>
      </c>
      <c r="AO34" s="2">
        <v>0.40500000000000003</v>
      </c>
      <c r="AP34" s="79">
        <v>126</v>
      </c>
    </row>
    <row r="35" spans="1:42">
      <c r="A35" s="7" t="s">
        <v>113</v>
      </c>
      <c r="B35" s="3"/>
      <c r="C35" s="4">
        <v>0.55100000000000005</v>
      </c>
      <c r="D35" s="4">
        <v>0.40600000000000003</v>
      </c>
      <c r="E35" s="3"/>
      <c r="F35" s="3"/>
      <c r="G35" s="4">
        <v>1.9800000000000002E-2</v>
      </c>
      <c r="H35" s="4">
        <v>0.315</v>
      </c>
      <c r="I35" s="4">
        <v>0.20799999999999999</v>
      </c>
      <c r="J35" s="4">
        <v>0.32300000000000001</v>
      </c>
      <c r="K35" s="3"/>
      <c r="L35" s="3"/>
      <c r="M35" s="4">
        <v>6.3899999999999998E-2</v>
      </c>
      <c r="N35" s="3"/>
      <c r="O35" s="3"/>
      <c r="P35" s="3"/>
      <c r="Q35" s="3"/>
      <c r="R35" s="3"/>
      <c r="S35" s="4">
        <v>5.2699999999999997E-2</v>
      </c>
      <c r="T35" s="3"/>
      <c r="U35" s="3"/>
      <c r="V35" s="3"/>
      <c r="W35" s="3"/>
      <c r="X35" s="3"/>
      <c r="Y35" s="3"/>
      <c r="Z35" s="3"/>
      <c r="AA35" s="3"/>
      <c r="AB35" s="4">
        <v>1.9199999999999998E-2</v>
      </c>
      <c r="AC35" s="4">
        <v>2.12E-2</v>
      </c>
      <c r="AD35" s="4">
        <v>2.63E-2</v>
      </c>
      <c r="AE35" s="3"/>
      <c r="AF35" s="3"/>
      <c r="AG35" s="3"/>
      <c r="AH35" s="3"/>
      <c r="AI35" s="4">
        <v>6.4399999999999999E-2</v>
      </c>
      <c r="AJ35" s="3"/>
      <c r="AK35" s="3"/>
      <c r="AL35" s="4">
        <v>3.6900000000000002E-2</v>
      </c>
      <c r="AM35" s="3"/>
      <c r="AN35" s="4">
        <v>5.0700000000000002E-2</v>
      </c>
      <c r="AO35" s="4">
        <v>1.9400000000000001E-2</v>
      </c>
      <c r="AP35" s="78">
        <v>38.299999999999997</v>
      </c>
    </row>
    <row r="36" spans="1:42">
      <c r="A36" s="7" t="s">
        <v>439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2">
        <v>0</v>
      </c>
      <c r="AP36" s="77"/>
    </row>
    <row r="37" spans="1:42">
      <c r="A37" s="7" t="s">
        <v>440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4">
        <v>0</v>
      </c>
      <c r="AP37" s="68"/>
    </row>
    <row r="38" spans="1:42">
      <c r="A38" s="7" t="s">
        <v>441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2">
        <v>0</v>
      </c>
      <c r="AP38" s="77"/>
    </row>
    <row r="39" spans="1:42">
      <c r="A39" s="7" t="s">
        <v>114</v>
      </c>
      <c r="B39" s="3"/>
      <c r="C39" s="4">
        <v>1.35E-2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>
        <v>1.0800000000000001E-2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4">
        <v>0</v>
      </c>
      <c r="AP39" s="68"/>
    </row>
    <row r="40" spans="1:42">
      <c r="A40" s="7" t="s">
        <v>442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2">
        <v>0</v>
      </c>
      <c r="AP40" s="77"/>
    </row>
    <row r="41" spans="1:42">
      <c r="A41" s="7" t="s">
        <v>443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4">
        <v>0</v>
      </c>
      <c r="AP41" s="68"/>
    </row>
    <row r="42" spans="1:42">
      <c r="A42" s="7" t="s">
        <v>115</v>
      </c>
      <c r="B42" s="2">
        <v>2.9100000000000001E-2</v>
      </c>
      <c r="C42" s="2">
        <v>2.06E-2</v>
      </c>
      <c r="D42" s="2">
        <v>1.7399999999999999E-2</v>
      </c>
      <c r="E42" s="2">
        <v>1.78E-2</v>
      </c>
      <c r="F42" s="2">
        <v>3.78E-2</v>
      </c>
      <c r="G42" s="2">
        <v>1.37E-2</v>
      </c>
      <c r="H42" s="2">
        <v>1.6299999999999999E-2</v>
      </c>
      <c r="I42" s="2">
        <v>1.78E-2</v>
      </c>
      <c r="J42" s="2">
        <v>1.1599999999999999E-2</v>
      </c>
      <c r="K42" s="2">
        <v>2.5700000000000001E-2</v>
      </c>
      <c r="L42" s="2">
        <v>5.8599999999999999E-2</v>
      </c>
      <c r="M42" s="2">
        <v>2.3400000000000001E-2</v>
      </c>
      <c r="N42" s="2">
        <v>2.0299999999999999E-2</v>
      </c>
      <c r="O42" s="2">
        <v>1.67E-2</v>
      </c>
      <c r="P42" s="2">
        <v>1.9599999999999999E-2</v>
      </c>
      <c r="Q42" s="2">
        <v>2.12E-2</v>
      </c>
      <c r="R42" s="2">
        <v>5.7499999999999999E-3</v>
      </c>
      <c r="S42" s="2">
        <v>1.6299999999999999E-2</v>
      </c>
      <c r="T42" s="2">
        <v>1.7100000000000001E-2</v>
      </c>
      <c r="U42" s="2">
        <v>1.5299999999999999E-2</v>
      </c>
      <c r="V42" s="2">
        <v>1.7100000000000001E-2</v>
      </c>
      <c r="W42" s="2">
        <v>9.41E-3</v>
      </c>
      <c r="X42" s="2">
        <v>9.0500000000000008E-3</v>
      </c>
      <c r="Y42" s="2">
        <v>9.2499999999999995E-3</v>
      </c>
      <c r="Z42" s="2">
        <v>1.7000000000000001E-2</v>
      </c>
      <c r="AA42" s="5"/>
      <c r="AB42" s="2">
        <v>1.0800000000000001E-2</v>
      </c>
      <c r="AC42" s="2">
        <v>1.0200000000000001E-2</v>
      </c>
      <c r="AD42" s="2">
        <v>1.24E-2</v>
      </c>
      <c r="AE42" s="2">
        <v>3.2500000000000001E-2</v>
      </c>
      <c r="AF42" s="5"/>
      <c r="AG42" s="5"/>
      <c r="AH42" s="2">
        <v>1.2699999999999999E-2</v>
      </c>
      <c r="AI42" s="2">
        <v>2.6200000000000001E-2</v>
      </c>
      <c r="AJ42" s="2">
        <v>0.04</v>
      </c>
      <c r="AK42" s="2">
        <v>2.23E-2</v>
      </c>
      <c r="AL42" s="2">
        <v>1.3899999999999999E-2</v>
      </c>
      <c r="AM42" s="5"/>
      <c r="AN42" s="2">
        <v>2.3E-2</v>
      </c>
      <c r="AO42" s="2">
        <v>1.0999999999999999E-2</v>
      </c>
      <c r="AP42" s="79">
        <v>47.9</v>
      </c>
    </row>
    <row r="43" spans="1:42">
      <c r="A43" s="7" t="s">
        <v>116</v>
      </c>
      <c r="B43" s="4">
        <v>1.4500000000000001E-2</v>
      </c>
      <c r="C43" s="4">
        <v>7.7700000000000005E-2</v>
      </c>
      <c r="D43" s="4">
        <v>7.4300000000000005E-2</v>
      </c>
      <c r="E43" s="4">
        <v>0.04</v>
      </c>
      <c r="F43" s="4">
        <v>3.9600000000000003E-2</v>
      </c>
      <c r="G43" s="4">
        <v>2.6499999999999999E-2</v>
      </c>
      <c r="H43" s="4">
        <v>6.1899999999999997E-2</v>
      </c>
      <c r="I43" s="4">
        <v>4.5999999999999999E-2</v>
      </c>
      <c r="J43" s="4">
        <v>8.2699999999999996E-2</v>
      </c>
      <c r="K43" s="3"/>
      <c r="L43" s="3"/>
      <c r="M43" s="4">
        <v>3.8100000000000002E-2</v>
      </c>
      <c r="N43" s="4">
        <v>2.5999999999999999E-2</v>
      </c>
      <c r="O43" s="4">
        <v>2.8799999999999999E-2</v>
      </c>
      <c r="P43" s="4">
        <v>1.7999999999999999E-2</v>
      </c>
      <c r="Q43" s="4">
        <v>3.0200000000000001E-2</v>
      </c>
      <c r="R43" s="4">
        <v>3.3099999999999997E-2</v>
      </c>
      <c r="S43" s="4">
        <v>2.5600000000000001E-2</v>
      </c>
      <c r="T43" s="4">
        <v>3.7600000000000001E-2</v>
      </c>
      <c r="U43" s="4">
        <v>2.5899999999999999E-2</v>
      </c>
      <c r="V43" s="4">
        <v>7.1900000000000002E-3</v>
      </c>
      <c r="W43" s="4">
        <v>2.2499999999999999E-2</v>
      </c>
      <c r="X43" s="4">
        <v>9.6900000000000007E-3</v>
      </c>
      <c r="Y43" s="4">
        <v>1.5100000000000001E-2</v>
      </c>
      <c r="Z43" s="4">
        <v>7.8399999999999997E-3</v>
      </c>
      <c r="AA43" s="3"/>
      <c r="AB43" s="4">
        <v>9.4599999999999997E-3</v>
      </c>
      <c r="AC43" s="4">
        <v>1.6299999999999999E-2</v>
      </c>
      <c r="AD43" s="4">
        <v>2.41E-2</v>
      </c>
      <c r="AE43" s="3"/>
      <c r="AF43" s="3"/>
      <c r="AG43" s="3"/>
      <c r="AH43" s="4">
        <v>2.01E-2</v>
      </c>
      <c r="AI43" s="4">
        <v>2.7E-2</v>
      </c>
      <c r="AJ43" s="4">
        <v>5.2699999999999997E-2</v>
      </c>
      <c r="AK43" s="4">
        <v>2.6499999999999999E-2</v>
      </c>
      <c r="AL43" s="4">
        <v>3.3399999999999999E-2</v>
      </c>
      <c r="AM43" s="3"/>
      <c r="AN43" s="4">
        <v>3.1899999999999998E-2</v>
      </c>
      <c r="AO43" s="4">
        <v>1.2500000000000001E-2</v>
      </c>
      <c r="AP43" s="78">
        <v>39.299999999999997</v>
      </c>
    </row>
    <row r="44" spans="1:42">
      <c r="A44" s="7" t="s">
        <v>444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2">
        <v>0</v>
      </c>
      <c r="AP44" s="77"/>
    </row>
    <row r="45" spans="1:42">
      <c r="A45" s="7" t="s">
        <v>117</v>
      </c>
      <c r="B45" s="3"/>
      <c r="C45" s="4">
        <v>4.5400000000000003E-2</v>
      </c>
      <c r="D45" s="4">
        <v>3.44E-2</v>
      </c>
      <c r="E45" s="3"/>
      <c r="F45" s="3"/>
      <c r="G45" s="3"/>
      <c r="H45" s="4">
        <v>2.7699999999999999E-2</v>
      </c>
      <c r="I45" s="4">
        <v>3.1E-2</v>
      </c>
      <c r="J45" s="4">
        <v>3.32E-2</v>
      </c>
      <c r="K45" s="3"/>
      <c r="L45" s="3"/>
      <c r="M45" s="3"/>
      <c r="N45" s="3"/>
      <c r="O45" s="3"/>
      <c r="P45" s="3"/>
      <c r="Q45" s="3"/>
      <c r="R45" s="3"/>
      <c r="S45" s="4">
        <v>7.7499999999999999E-3</v>
      </c>
      <c r="T45" s="4">
        <v>4.4200000000000003E-3</v>
      </c>
      <c r="U45" s="4">
        <v>2.1000000000000001E-2</v>
      </c>
      <c r="V45" s="4">
        <v>3.6900000000000001E-3</v>
      </c>
      <c r="W45" s="4">
        <v>1.46E-2</v>
      </c>
      <c r="X45" s="4">
        <v>1.5100000000000001E-3</v>
      </c>
      <c r="Y45" s="3"/>
      <c r="Z45" s="4">
        <v>1.5499999999999999E-3</v>
      </c>
      <c r="AA45" s="3"/>
      <c r="AB45" s="3"/>
      <c r="AC45" s="3"/>
      <c r="AD45" s="3"/>
      <c r="AE45" s="3"/>
      <c r="AF45" s="3"/>
      <c r="AG45" s="3"/>
      <c r="AH45" s="4">
        <v>9.2700000000000005E-3</v>
      </c>
      <c r="AI45" s="3"/>
      <c r="AJ45" s="3"/>
      <c r="AK45" s="3"/>
      <c r="AL45" s="3"/>
      <c r="AM45" s="3"/>
      <c r="AN45" s="4">
        <v>9.2700000000000005E-3</v>
      </c>
      <c r="AO45" s="3"/>
      <c r="AP45" s="78">
        <v>0</v>
      </c>
    </row>
    <row r="46" spans="1:42">
      <c r="A46" s="7" t="s">
        <v>118</v>
      </c>
      <c r="B46" s="5"/>
      <c r="C46" s="2">
        <v>9.74E-2</v>
      </c>
      <c r="D46" s="2">
        <v>0.11700000000000001</v>
      </c>
      <c r="E46" s="5"/>
      <c r="F46" s="5"/>
      <c r="G46" s="5"/>
      <c r="H46" s="2">
        <v>5.9700000000000003E-2</v>
      </c>
      <c r="I46" s="2">
        <v>3.61E-2</v>
      </c>
      <c r="J46" s="2">
        <v>0.109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2">
        <v>0.11799999999999999</v>
      </c>
      <c r="AK46" s="5"/>
      <c r="AL46" s="5"/>
      <c r="AM46" s="5"/>
      <c r="AN46" s="2">
        <v>0.11799999999999999</v>
      </c>
      <c r="AO46" s="5"/>
      <c r="AP46" s="79">
        <v>0</v>
      </c>
    </row>
    <row r="47" spans="1:42">
      <c r="A47" s="7" t="s">
        <v>445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4">
        <v>0</v>
      </c>
      <c r="AP47" s="68"/>
    </row>
    <row r="48" spans="1:42">
      <c r="A48" s="7" t="s">
        <v>446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2">
        <v>0</v>
      </c>
      <c r="AP48" s="77"/>
    </row>
    <row r="49" spans="1:42">
      <c r="A49" s="7" t="s">
        <v>447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4">
        <v>0</v>
      </c>
      <c r="AP49" s="68"/>
    </row>
    <row r="50" spans="1:42">
      <c r="A50" s="7" t="s">
        <v>448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2">
        <v>0</v>
      </c>
      <c r="AP50" s="77"/>
    </row>
    <row r="51" spans="1:42">
      <c r="A51" s="7" t="s">
        <v>449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4">
        <v>0</v>
      </c>
      <c r="AP51" s="68"/>
    </row>
    <row r="52" spans="1:42">
      <c r="A52" s="7" t="s">
        <v>450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2">
        <v>0</v>
      </c>
      <c r="AP52" s="77"/>
    </row>
    <row r="53" spans="1:42">
      <c r="A53" s="7" t="s">
        <v>119</v>
      </c>
      <c r="B53" s="4">
        <v>0.106</v>
      </c>
      <c r="C53" s="4">
        <v>7.46E-2</v>
      </c>
      <c r="D53" s="4">
        <v>7.5899999999999995E-2</v>
      </c>
      <c r="E53" s="3"/>
      <c r="F53" s="3"/>
      <c r="G53" s="4">
        <v>0.105</v>
      </c>
      <c r="H53" s="4">
        <v>0.16600000000000001</v>
      </c>
      <c r="I53" s="4">
        <v>9.2700000000000005E-2</v>
      </c>
      <c r="J53" s="4">
        <v>8.3299999999999999E-2</v>
      </c>
      <c r="K53" s="3"/>
      <c r="L53" s="3"/>
      <c r="M53" s="4">
        <v>6.9599999999999995E-2</v>
      </c>
      <c r="N53" s="4">
        <v>5.2299999999999999E-2</v>
      </c>
      <c r="O53" s="4">
        <v>0.10299999999999999</v>
      </c>
      <c r="P53" s="4">
        <v>0.224</v>
      </c>
      <c r="Q53" s="3"/>
      <c r="R53" s="4">
        <v>6.0699999999999997E-2</v>
      </c>
      <c r="S53" s="4">
        <v>0.11600000000000001</v>
      </c>
      <c r="T53" s="4">
        <v>8.4699999999999998E-2</v>
      </c>
      <c r="U53" s="4">
        <v>9.3200000000000005E-2</v>
      </c>
      <c r="V53" s="4">
        <v>3.3500000000000002E-2</v>
      </c>
      <c r="W53" s="4">
        <v>7.0099999999999996E-2</v>
      </c>
      <c r="X53" s="4">
        <v>5.2900000000000003E-2</v>
      </c>
      <c r="Y53" s="4">
        <v>0.129</v>
      </c>
      <c r="Z53" s="4">
        <v>0.20799999999999999</v>
      </c>
      <c r="AA53" s="3"/>
      <c r="AB53" s="4">
        <v>0.34100000000000003</v>
      </c>
      <c r="AC53" s="4">
        <v>6.9800000000000001E-2</v>
      </c>
      <c r="AD53" s="4">
        <v>6.0900000000000003E-2</v>
      </c>
      <c r="AE53" s="4">
        <v>0.182</v>
      </c>
      <c r="AF53" s="3"/>
      <c r="AG53" s="3"/>
      <c r="AH53" s="4">
        <v>4.7100000000000003E-2</v>
      </c>
      <c r="AI53" s="4">
        <v>8.3500000000000005E-2</v>
      </c>
      <c r="AJ53" s="4">
        <v>8.8900000000000007E-2</v>
      </c>
      <c r="AK53" s="3"/>
      <c r="AL53" s="4">
        <v>5.5100000000000003E-2</v>
      </c>
      <c r="AM53" s="3"/>
      <c r="AN53" s="4">
        <v>6.8599999999999994E-2</v>
      </c>
      <c r="AO53" s="4">
        <v>2.06E-2</v>
      </c>
      <c r="AP53" s="78">
        <v>30</v>
      </c>
    </row>
    <row r="54" spans="1:42">
      <c r="A54" s="7" t="s">
        <v>451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2">
        <v>0</v>
      </c>
      <c r="AP54" s="77"/>
    </row>
    <row r="55" spans="1:42">
      <c r="A55" s="7" t="s">
        <v>452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4">
        <v>0</v>
      </c>
      <c r="AP55" s="68"/>
    </row>
    <row r="56" spans="1:42">
      <c r="A56" s="7" t="s">
        <v>453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2">
        <v>0</v>
      </c>
      <c r="AP56" s="77"/>
    </row>
    <row r="57" spans="1:42">
      <c r="A57" s="7" t="s">
        <v>454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4">
        <v>0</v>
      </c>
      <c r="AP57" s="68"/>
    </row>
    <row r="58" spans="1:42">
      <c r="A58" s="7" t="s">
        <v>120</v>
      </c>
      <c r="B58" s="5"/>
      <c r="C58" s="2">
        <v>5.9499999999999997E-2</v>
      </c>
      <c r="D58" s="2">
        <v>5.0799999999999998E-2</v>
      </c>
      <c r="E58" s="5"/>
      <c r="F58" s="5"/>
      <c r="G58" s="5"/>
      <c r="H58" s="2">
        <v>3.4799999999999998E-2</v>
      </c>
      <c r="I58" s="2">
        <v>4.2000000000000003E-2</v>
      </c>
      <c r="J58" s="2">
        <v>2.01E-2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2">
        <v>0</v>
      </c>
      <c r="AP58" s="77"/>
    </row>
    <row r="59" spans="1:42">
      <c r="A59" s="7" t="s">
        <v>455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4">
        <v>0</v>
      </c>
      <c r="AP59" s="68"/>
    </row>
    <row r="60" spans="1:42">
      <c r="A60" s="7" t="s">
        <v>456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2">
        <v>0</v>
      </c>
      <c r="AP60" s="77"/>
    </row>
    <row r="61" spans="1:42">
      <c r="A61" s="7" t="s">
        <v>457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4">
        <v>0</v>
      </c>
      <c r="AP61" s="68"/>
    </row>
    <row r="62" spans="1:42">
      <c r="A62" s="7" t="s">
        <v>458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2">
        <v>0</v>
      </c>
      <c r="AP62" s="77"/>
    </row>
    <row r="63" spans="1:42">
      <c r="A63" s="7" t="s">
        <v>121</v>
      </c>
      <c r="B63" s="3"/>
      <c r="C63" s="4">
        <v>0.29199999999999998</v>
      </c>
      <c r="D63" s="4">
        <v>0.441</v>
      </c>
      <c r="E63" s="3"/>
      <c r="F63" s="3"/>
      <c r="G63" s="3"/>
      <c r="H63" s="4">
        <v>0.13600000000000001</v>
      </c>
      <c r="I63" s="4">
        <v>6.0199999999999997E-2</v>
      </c>
      <c r="J63" s="4">
        <v>0.16900000000000001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4">
        <v>7.9500000000000001E-2</v>
      </c>
      <c r="AK63" s="3"/>
      <c r="AL63" s="3"/>
      <c r="AM63" s="3"/>
      <c r="AN63" s="4">
        <v>7.9500000000000001E-2</v>
      </c>
      <c r="AO63" s="3"/>
      <c r="AP63" s="78">
        <v>0</v>
      </c>
    </row>
    <row r="64" spans="1:42">
      <c r="A64" s="7" t="s">
        <v>122</v>
      </c>
      <c r="B64" s="2">
        <v>3.7199999999999997E-2</v>
      </c>
      <c r="C64" s="2">
        <v>4.6199999999999998E-2</v>
      </c>
      <c r="D64" s="5"/>
      <c r="E64" s="5"/>
      <c r="F64" s="5"/>
      <c r="G64" s="5"/>
      <c r="H64" s="2">
        <v>4.6899999999999997E-2</v>
      </c>
      <c r="I64" s="2">
        <v>3.6600000000000001E-2</v>
      </c>
      <c r="J64" s="2">
        <v>5.1999999999999998E-2</v>
      </c>
      <c r="K64" s="5"/>
      <c r="L64" s="5"/>
      <c r="M64" s="2">
        <v>5.0599999999999999E-2</v>
      </c>
      <c r="N64" s="5"/>
      <c r="O64" s="5"/>
      <c r="P64" s="2">
        <v>4.8099999999999997E-2</v>
      </c>
      <c r="Q64" s="5"/>
      <c r="R64" s="5"/>
      <c r="S64" s="2">
        <v>0.111</v>
      </c>
      <c r="T64" s="5"/>
      <c r="U64" s="5"/>
      <c r="V64" s="5"/>
      <c r="W64" s="5"/>
      <c r="X64" s="5"/>
      <c r="Y64" s="2">
        <v>5.0900000000000001E-2</v>
      </c>
      <c r="Z64" s="2">
        <v>6.7699999999999996E-2</v>
      </c>
      <c r="AA64" s="5"/>
      <c r="AB64" s="2">
        <v>7.3800000000000004E-2</v>
      </c>
      <c r="AC64" s="5"/>
      <c r="AD64" s="5"/>
      <c r="AE64" s="5"/>
      <c r="AF64" s="5"/>
      <c r="AG64" s="5"/>
      <c r="AH64" s="5"/>
      <c r="AI64" s="2">
        <v>3.0099999999999998E-2</v>
      </c>
      <c r="AJ64" s="5"/>
      <c r="AK64" s="5"/>
      <c r="AL64" s="5"/>
      <c r="AM64" s="5"/>
      <c r="AN64" s="2">
        <v>3.0099999999999998E-2</v>
      </c>
      <c r="AO64" s="5"/>
      <c r="AP64" s="79">
        <v>0</v>
      </c>
    </row>
    <row r="65" spans="1:42">
      <c r="A65" s="7" t="s">
        <v>459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4">
        <v>0</v>
      </c>
      <c r="AP65" s="68"/>
    </row>
    <row r="66" spans="1:42">
      <c r="A66" s="7" t="s">
        <v>123</v>
      </c>
      <c r="B66" s="2">
        <v>3.26</v>
      </c>
      <c r="C66" s="2">
        <v>2.17</v>
      </c>
      <c r="D66" s="2">
        <v>0.76700000000000002</v>
      </c>
      <c r="E66" s="2">
        <v>1.1599999999999999</v>
      </c>
      <c r="F66" s="2">
        <v>1.45</v>
      </c>
      <c r="G66" s="2">
        <v>1.59</v>
      </c>
      <c r="H66" s="2">
        <v>4.13</v>
      </c>
      <c r="I66" s="2">
        <v>3.51</v>
      </c>
      <c r="J66" s="2">
        <v>4.6100000000000003</v>
      </c>
      <c r="K66" s="2">
        <v>2.83</v>
      </c>
      <c r="L66" s="2">
        <v>4.75</v>
      </c>
      <c r="M66" s="2">
        <v>8.73</v>
      </c>
      <c r="N66" s="2">
        <v>3.22</v>
      </c>
      <c r="O66" s="2">
        <v>2.5</v>
      </c>
      <c r="P66" s="2">
        <v>2.68</v>
      </c>
      <c r="Q66" s="2">
        <v>2.76</v>
      </c>
      <c r="R66" s="2">
        <v>2.38</v>
      </c>
      <c r="S66" s="2">
        <v>5.19</v>
      </c>
      <c r="T66" s="2">
        <v>3.73</v>
      </c>
      <c r="U66" s="2">
        <v>3.77</v>
      </c>
      <c r="V66" s="2">
        <v>13.1</v>
      </c>
      <c r="W66" s="2">
        <v>6.9</v>
      </c>
      <c r="X66" s="2">
        <v>3.18</v>
      </c>
      <c r="Y66" s="2">
        <v>4.0199999999999996</v>
      </c>
      <c r="Z66" s="2">
        <v>4.9000000000000004</v>
      </c>
      <c r="AA66" s="5"/>
      <c r="AB66" s="2">
        <v>2.37</v>
      </c>
      <c r="AC66" s="2">
        <v>5.17</v>
      </c>
      <c r="AD66" s="2">
        <v>5.15</v>
      </c>
      <c r="AE66" s="2">
        <v>2.61</v>
      </c>
      <c r="AF66" s="5"/>
      <c r="AG66" s="5"/>
      <c r="AH66" s="2">
        <v>3.64</v>
      </c>
      <c r="AI66" s="2">
        <v>3.02</v>
      </c>
      <c r="AJ66" s="2">
        <v>4.2699999999999996</v>
      </c>
      <c r="AK66" s="2">
        <v>3.26</v>
      </c>
      <c r="AL66" s="2">
        <v>3.18</v>
      </c>
      <c r="AM66" s="5"/>
      <c r="AN66" s="2">
        <v>3.47</v>
      </c>
      <c r="AO66" s="2">
        <v>0.5</v>
      </c>
      <c r="AP66" s="79">
        <v>14.4</v>
      </c>
    </row>
    <row r="67" spans="1:42">
      <c r="A67" s="7" t="s">
        <v>460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4">
        <v>0</v>
      </c>
      <c r="AP67" s="68"/>
    </row>
    <row r="68" spans="1:42">
      <c r="A68" s="7" t="s">
        <v>461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2">
        <v>0</v>
      </c>
      <c r="AP68" s="77"/>
    </row>
    <row r="69" spans="1:42">
      <c r="A69" s="7" t="s">
        <v>124</v>
      </c>
      <c r="B69" s="4">
        <v>6.6500000000000004E-2</v>
      </c>
      <c r="C69" s="4">
        <v>5.4800000000000001E-2</v>
      </c>
      <c r="D69" s="4">
        <v>1.7899999999999999E-2</v>
      </c>
      <c r="E69" s="3"/>
      <c r="F69" s="3"/>
      <c r="G69" s="4">
        <v>3.5700000000000003E-2</v>
      </c>
      <c r="H69" s="4">
        <v>0.105</v>
      </c>
      <c r="I69" s="4">
        <v>7.0900000000000005E-2</v>
      </c>
      <c r="J69" s="4">
        <v>0.109</v>
      </c>
      <c r="K69" s="4">
        <v>8.1500000000000003E-2</v>
      </c>
      <c r="L69" s="3"/>
      <c r="M69" s="4">
        <v>0.17100000000000001</v>
      </c>
      <c r="N69" s="4">
        <v>6.0199999999999997E-2</v>
      </c>
      <c r="O69" s="4">
        <v>4.9000000000000002E-2</v>
      </c>
      <c r="P69" s="4">
        <v>5.8400000000000001E-2</v>
      </c>
      <c r="Q69" s="4">
        <v>0.10199999999999999</v>
      </c>
      <c r="R69" s="4">
        <v>4.7800000000000002E-2</v>
      </c>
      <c r="S69" s="4">
        <v>0.14099999999999999</v>
      </c>
      <c r="T69" s="4">
        <v>0.14499999999999999</v>
      </c>
      <c r="U69" s="4">
        <v>9.6699999999999994E-2</v>
      </c>
      <c r="V69" s="4">
        <v>0.13900000000000001</v>
      </c>
      <c r="W69" s="4">
        <v>0.14199999999999999</v>
      </c>
      <c r="X69" s="3"/>
      <c r="Y69" s="4">
        <v>9.0700000000000003E-2</v>
      </c>
      <c r="Z69" s="4">
        <v>0.112</v>
      </c>
      <c r="AA69" s="3"/>
      <c r="AB69" s="4">
        <v>4.8399999999999999E-2</v>
      </c>
      <c r="AC69" s="4">
        <v>9.4600000000000004E-2</v>
      </c>
      <c r="AD69" s="4">
        <v>9.74E-2</v>
      </c>
      <c r="AE69" s="4">
        <v>9.9500000000000005E-2</v>
      </c>
      <c r="AF69" s="3"/>
      <c r="AG69" s="3"/>
      <c r="AH69" s="4">
        <v>9.9400000000000002E-2</v>
      </c>
      <c r="AI69" s="4">
        <v>6.8099999999999994E-2</v>
      </c>
      <c r="AJ69" s="4">
        <v>0.13600000000000001</v>
      </c>
      <c r="AK69" s="4">
        <v>9.5600000000000004E-2</v>
      </c>
      <c r="AL69" s="4">
        <v>7.0199999999999999E-2</v>
      </c>
      <c r="AM69" s="3"/>
      <c r="AN69" s="4">
        <v>9.3899999999999997E-2</v>
      </c>
      <c r="AO69" s="4">
        <v>2.75E-2</v>
      </c>
      <c r="AP69" s="78">
        <v>29.3</v>
      </c>
    </row>
    <row r="70" spans="1:42">
      <c r="A70" s="7" t="s">
        <v>462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2">
        <v>0</v>
      </c>
      <c r="AP70" s="77"/>
    </row>
    <row r="71" spans="1:42">
      <c r="A71" s="7" t="s">
        <v>463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4">
        <v>0</v>
      </c>
      <c r="AP71" s="68"/>
    </row>
    <row r="72" spans="1:42">
      <c r="A72" s="7" t="s">
        <v>464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2">
        <v>0</v>
      </c>
      <c r="AP72" s="77"/>
    </row>
    <row r="73" spans="1:42">
      <c r="A73" s="7" t="s">
        <v>125</v>
      </c>
      <c r="B73" s="4">
        <v>4.4299999999999999E-2</v>
      </c>
      <c r="C73" s="4">
        <v>5.4300000000000001E-2</v>
      </c>
      <c r="D73" s="4">
        <v>0.06</v>
      </c>
      <c r="E73" s="4">
        <v>1.6799999999999999E-2</v>
      </c>
      <c r="F73" s="3"/>
      <c r="G73" s="3"/>
      <c r="H73" s="4">
        <v>4.9500000000000002E-2</v>
      </c>
      <c r="I73" s="4">
        <v>2.7300000000000001E-2</v>
      </c>
      <c r="J73" s="4">
        <v>4.5199999999999997E-2</v>
      </c>
      <c r="K73" s="3"/>
      <c r="L73" s="4">
        <v>0.25700000000000001</v>
      </c>
      <c r="M73" s="4">
        <v>0.22800000000000001</v>
      </c>
      <c r="N73" s="4">
        <v>3.3099999999999997E-2</v>
      </c>
      <c r="O73" s="4">
        <v>2.7099999999999999E-2</v>
      </c>
      <c r="P73" s="4">
        <v>6.1100000000000002E-2</v>
      </c>
      <c r="Q73" s="4">
        <v>7.1999999999999995E-2</v>
      </c>
      <c r="R73" s="3"/>
      <c r="S73" s="4">
        <v>0.10199999999999999</v>
      </c>
      <c r="T73" s="4">
        <v>0.36499999999999999</v>
      </c>
      <c r="U73" s="4">
        <v>0.29799999999999999</v>
      </c>
      <c r="V73" s="4">
        <v>4.0800000000000003E-2</v>
      </c>
      <c r="W73" s="4">
        <v>0.187</v>
      </c>
      <c r="X73" s="4">
        <v>3.04E-2</v>
      </c>
      <c r="Y73" s="4">
        <v>5.0599999999999999E-2</v>
      </c>
      <c r="Z73" s="4">
        <v>2.87E-2</v>
      </c>
      <c r="AA73" s="3"/>
      <c r="AB73" s="3"/>
      <c r="AC73" s="3"/>
      <c r="AD73" s="3"/>
      <c r="AE73" s="4">
        <v>1.6E-2</v>
      </c>
      <c r="AF73" s="3"/>
      <c r="AG73" s="3"/>
      <c r="AH73" s="4">
        <v>0.14399999999999999</v>
      </c>
      <c r="AI73" s="4">
        <v>0.13900000000000001</v>
      </c>
      <c r="AJ73" s="4">
        <v>0.35199999999999998</v>
      </c>
      <c r="AK73" s="3"/>
      <c r="AL73" s="3"/>
      <c r="AM73" s="3"/>
      <c r="AN73" s="4">
        <v>0.21199999999999999</v>
      </c>
      <c r="AO73" s="4">
        <v>0.122</v>
      </c>
      <c r="AP73" s="78">
        <v>57.5</v>
      </c>
    </row>
    <row r="74" spans="1:42">
      <c r="A74" s="7" t="s">
        <v>465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2">
        <v>0</v>
      </c>
      <c r="AP74" s="77"/>
    </row>
    <row r="75" spans="1:42">
      <c r="A75" s="7" t="s">
        <v>466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4">
        <v>0</v>
      </c>
      <c r="AP75" s="68"/>
    </row>
    <row r="76" spans="1:42">
      <c r="A76" s="7" t="s">
        <v>467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2">
        <v>0</v>
      </c>
      <c r="AP76" s="77"/>
    </row>
    <row r="77" spans="1:42">
      <c r="A77" s="7" t="s">
        <v>468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4">
        <v>0</v>
      </c>
      <c r="AP77" s="68"/>
    </row>
    <row r="78" spans="1:42">
      <c r="A78" s="7" t="s">
        <v>469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2">
        <v>0</v>
      </c>
      <c r="AP78" s="77"/>
    </row>
    <row r="79" spans="1:42">
      <c r="A79" s="7" t="s">
        <v>470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>
        <v>8.7900000000000006E-2</v>
      </c>
      <c r="X79" s="3"/>
      <c r="Y79" s="4">
        <v>0.60299999999999998</v>
      </c>
      <c r="Z79" s="4">
        <v>0.60899999999999999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4">
        <v>0</v>
      </c>
      <c r="AP79" s="68"/>
    </row>
    <row r="80" spans="1:42">
      <c r="A80" s="7" t="s">
        <v>471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2">
        <v>0</v>
      </c>
      <c r="AP80" s="77"/>
    </row>
    <row r="81" spans="1:42">
      <c r="A81" s="7" t="s">
        <v>472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4">
        <v>0</v>
      </c>
      <c r="AP81" s="68"/>
    </row>
    <row r="82" spans="1:42">
      <c r="A82" s="7" t="s">
        <v>473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2">
        <v>0</v>
      </c>
      <c r="AP82" s="77"/>
    </row>
    <row r="83" spans="1:42">
      <c r="A83" s="7" t="s">
        <v>474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4">
        <v>0</v>
      </c>
      <c r="AP83" s="68"/>
    </row>
    <row r="84" spans="1:42">
      <c r="A84" s="7" t="s">
        <v>475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2">
        <v>0</v>
      </c>
      <c r="AP84" s="77"/>
    </row>
    <row r="85" spans="1:42">
      <c r="A85" s="7" t="s">
        <v>476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4">
        <v>0</v>
      </c>
      <c r="AP85" s="68"/>
    </row>
    <row r="86" spans="1:42">
      <c r="A86" s="7" t="s">
        <v>477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2">
        <v>0</v>
      </c>
      <c r="AP86" s="77"/>
    </row>
    <row r="87" spans="1:42">
      <c r="A87" s="7" t="s">
        <v>478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4">
        <v>0</v>
      </c>
      <c r="AP87" s="68"/>
    </row>
    <row r="88" spans="1:42">
      <c r="A88" s="7" t="s">
        <v>479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2">
        <v>0</v>
      </c>
      <c r="AP88" s="77"/>
    </row>
    <row r="89" spans="1:42">
      <c r="A89" s="7" t="s">
        <v>480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4">
        <v>0</v>
      </c>
      <c r="AP89" s="68"/>
    </row>
    <row r="90" spans="1:42">
      <c r="A90" s="7" t="s">
        <v>481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2">
        <v>0</v>
      </c>
      <c r="AP90" s="77"/>
    </row>
    <row r="91" spans="1:42">
      <c r="A91" s="7" t="s">
        <v>482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4">
        <v>0</v>
      </c>
      <c r="AP91" s="68"/>
    </row>
    <row r="92" spans="1:42">
      <c r="A92" s="7" t="s">
        <v>483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2">
        <v>0</v>
      </c>
      <c r="AP92" s="77"/>
    </row>
    <row r="93" spans="1:42">
      <c r="A93" s="7" t="s">
        <v>484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4">
        <v>0</v>
      </c>
      <c r="AP93" s="68"/>
    </row>
    <row r="94" spans="1:42">
      <c r="A94" s="7" t="s">
        <v>485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2">
        <v>0</v>
      </c>
      <c r="AP94" s="77"/>
    </row>
    <row r="95" spans="1:42">
      <c r="A95" s="7" t="s">
        <v>486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4">
        <v>0</v>
      </c>
      <c r="AP95" s="68"/>
    </row>
    <row r="96" spans="1:42">
      <c r="A96" s="7" t="s">
        <v>126</v>
      </c>
      <c r="B96" s="2">
        <v>7.8600000000000003E-2</v>
      </c>
      <c r="C96" s="2">
        <v>2.75E-2</v>
      </c>
      <c r="D96" s="2">
        <v>1.8800000000000001E-2</v>
      </c>
      <c r="E96" s="5"/>
      <c r="F96" s="5"/>
      <c r="G96" s="2">
        <v>1.2999999999999999E-2</v>
      </c>
      <c r="H96" s="2">
        <v>6.1600000000000002E-2</v>
      </c>
      <c r="I96" s="2">
        <v>6.6400000000000001E-2</v>
      </c>
      <c r="J96" s="2">
        <v>3.95E-2</v>
      </c>
      <c r="K96" s="5"/>
      <c r="L96" s="5"/>
      <c r="M96" s="2">
        <v>0.215</v>
      </c>
      <c r="N96" s="2">
        <v>0.23</v>
      </c>
      <c r="O96" s="2">
        <v>0.159</v>
      </c>
      <c r="P96" s="2">
        <v>8.2500000000000004E-2</v>
      </c>
      <c r="Q96" s="5"/>
      <c r="R96" s="2">
        <v>2.6599999999999999E-2</v>
      </c>
      <c r="S96" s="2">
        <v>0.10199999999999999</v>
      </c>
      <c r="T96" s="2">
        <v>2.6599999999999999E-2</v>
      </c>
      <c r="U96" s="2">
        <v>5.7500000000000002E-2</v>
      </c>
      <c r="V96" s="2">
        <v>6.9199999999999998E-2</v>
      </c>
      <c r="W96" s="5"/>
      <c r="X96" s="2">
        <v>1.7500000000000002E-2</v>
      </c>
      <c r="Y96" s="2">
        <v>8.2699999999999996E-2</v>
      </c>
      <c r="Z96" s="2">
        <v>7.8200000000000006E-2</v>
      </c>
      <c r="AA96" s="5"/>
      <c r="AB96" s="2">
        <v>1.8100000000000002E-2</v>
      </c>
      <c r="AC96" s="2">
        <v>6.9500000000000006E-2</v>
      </c>
      <c r="AD96" s="2">
        <v>4.7699999999999999E-2</v>
      </c>
      <c r="AE96" s="2">
        <v>0.14899999999999999</v>
      </c>
      <c r="AF96" s="5"/>
      <c r="AG96" s="5"/>
      <c r="AH96" s="2">
        <v>9.11E-2</v>
      </c>
      <c r="AI96" s="2">
        <v>0.17499999999999999</v>
      </c>
      <c r="AJ96" s="5"/>
      <c r="AK96" s="5"/>
      <c r="AL96" s="2">
        <v>9.4600000000000004E-2</v>
      </c>
      <c r="AM96" s="5"/>
      <c r="AN96" s="2">
        <v>0.12</v>
      </c>
      <c r="AO96" s="2">
        <v>4.7199999999999999E-2</v>
      </c>
      <c r="AP96" s="79">
        <v>39.299999999999997</v>
      </c>
    </row>
    <row r="97" spans="1:42">
      <c r="A97" s="7" t="s">
        <v>487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4">
        <v>0</v>
      </c>
      <c r="AP97" s="68"/>
    </row>
    <row r="98" spans="1:42">
      <c r="A98" s="7" t="s">
        <v>488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2">
        <v>0</v>
      </c>
      <c r="AP98" s="77"/>
    </row>
    <row r="99" spans="1:42">
      <c r="A99" s="7" t="s">
        <v>489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4">
        <v>0</v>
      </c>
      <c r="AP99" s="68"/>
    </row>
    <row r="100" spans="1:42">
      <c r="A100" s="7" t="s">
        <v>490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2">
        <v>0</v>
      </c>
      <c r="AP100" s="77"/>
    </row>
    <row r="101" spans="1:42">
      <c r="A101" s="7" t="s">
        <v>127</v>
      </c>
      <c r="B101" s="3"/>
      <c r="C101" s="3"/>
      <c r="D101" s="3"/>
      <c r="E101" s="3"/>
      <c r="F101" s="3"/>
      <c r="G101" s="4">
        <v>0.107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4">
        <v>5.7299999999999997E-2</v>
      </c>
      <c r="S101" s="4">
        <v>3.7299999999999998E-3</v>
      </c>
      <c r="T101" s="4">
        <v>4.82E-2</v>
      </c>
      <c r="U101" s="4">
        <v>7.3800000000000003E-3</v>
      </c>
      <c r="V101" s="3"/>
      <c r="W101" s="4">
        <v>2.1700000000000001E-3</v>
      </c>
      <c r="X101" s="3"/>
      <c r="Y101" s="3"/>
      <c r="Z101" s="4">
        <v>5.7999999999999996E-3</v>
      </c>
      <c r="AA101" s="3"/>
      <c r="AB101" s="4">
        <v>0.27100000000000002</v>
      </c>
      <c r="AC101" s="4">
        <v>6.9500000000000006E-2</v>
      </c>
      <c r="AD101" s="4">
        <v>0.11899999999999999</v>
      </c>
      <c r="AE101" s="4">
        <v>0.192</v>
      </c>
      <c r="AF101" s="3"/>
      <c r="AG101" s="3"/>
      <c r="AH101" s="3"/>
      <c r="AI101" s="3"/>
      <c r="AJ101" s="3"/>
      <c r="AK101" s="3"/>
      <c r="AL101" s="4">
        <v>0.126</v>
      </c>
      <c r="AM101" s="3"/>
      <c r="AN101" s="4">
        <v>0.126</v>
      </c>
      <c r="AO101" s="3"/>
      <c r="AP101" s="78">
        <v>0</v>
      </c>
    </row>
    <row r="102" spans="1:42">
      <c r="A102" s="7" t="s">
        <v>128</v>
      </c>
      <c r="B102" s="2">
        <v>0.28599999999999998</v>
      </c>
      <c r="C102" s="2">
        <v>9.7699999999999995E-2</v>
      </c>
      <c r="D102" s="2">
        <v>8.7599999999999997E-2</v>
      </c>
      <c r="E102" s="2">
        <v>0.23599999999999999</v>
      </c>
      <c r="F102" s="2">
        <v>0.14899999999999999</v>
      </c>
      <c r="G102" s="2">
        <v>0.184</v>
      </c>
      <c r="H102" s="2">
        <v>0.185</v>
      </c>
      <c r="I102" s="2">
        <v>0.17699999999999999</v>
      </c>
      <c r="J102" s="2">
        <v>0.13500000000000001</v>
      </c>
      <c r="K102" s="2">
        <v>0.123</v>
      </c>
      <c r="L102" s="5"/>
      <c r="M102" s="2">
        <v>0.28999999999999998</v>
      </c>
      <c r="N102" s="2">
        <v>0.152</v>
      </c>
      <c r="O102" s="2">
        <v>0.24</v>
      </c>
      <c r="P102" s="2">
        <v>0.32</v>
      </c>
      <c r="Q102" s="2">
        <v>0.30599999999999999</v>
      </c>
      <c r="R102" s="2">
        <v>0.17699999999999999</v>
      </c>
      <c r="S102" s="2">
        <v>0.14299999999999999</v>
      </c>
      <c r="T102" s="2">
        <v>0.14000000000000001</v>
      </c>
      <c r="U102" s="2">
        <v>0.376</v>
      </c>
      <c r="V102" s="2">
        <v>0.189</v>
      </c>
      <c r="W102" s="2">
        <v>0.20300000000000001</v>
      </c>
      <c r="X102" s="2">
        <v>7.8899999999999998E-2</v>
      </c>
      <c r="Y102" s="2">
        <v>0.2</v>
      </c>
      <c r="Z102" s="2">
        <v>0.23100000000000001</v>
      </c>
      <c r="AA102" s="5"/>
      <c r="AB102" s="2">
        <v>0.156</v>
      </c>
      <c r="AC102" s="2">
        <v>0.16800000000000001</v>
      </c>
      <c r="AD102" s="2">
        <v>0.151</v>
      </c>
      <c r="AE102" s="2">
        <v>0.14699999999999999</v>
      </c>
      <c r="AF102" s="5"/>
      <c r="AG102" s="5"/>
      <c r="AH102" s="2">
        <v>0.112</v>
      </c>
      <c r="AI102" s="2">
        <v>0.372</v>
      </c>
      <c r="AJ102" s="5"/>
      <c r="AK102" s="2">
        <v>0.21299999999999999</v>
      </c>
      <c r="AL102" s="2">
        <v>0.219</v>
      </c>
      <c r="AM102" s="5"/>
      <c r="AN102" s="2">
        <v>0.22900000000000001</v>
      </c>
      <c r="AO102" s="2">
        <v>0.107</v>
      </c>
      <c r="AP102" s="79">
        <v>46.9</v>
      </c>
    </row>
    <row r="103" spans="1:42">
      <c r="A103" s="7" t="s">
        <v>129</v>
      </c>
      <c r="B103" s="3"/>
      <c r="C103" s="4">
        <v>3.1E-2</v>
      </c>
      <c r="D103" s="4">
        <v>3.2199999999999999E-2</v>
      </c>
      <c r="E103" s="3"/>
      <c r="F103" s="3"/>
      <c r="G103" s="3"/>
      <c r="H103" s="4">
        <v>1.8599999999999998E-2</v>
      </c>
      <c r="I103" s="4">
        <v>8.4799999999999997E-3</v>
      </c>
      <c r="J103" s="4">
        <v>4.9700000000000001E-2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4">
        <v>0</v>
      </c>
      <c r="AP103" s="68"/>
    </row>
    <row r="104" spans="1:42">
      <c r="A104" s="7" t="s">
        <v>491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2">
        <v>0</v>
      </c>
      <c r="AP104" s="77"/>
    </row>
    <row r="105" spans="1:42">
      <c r="A105" s="7" t="s">
        <v>492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4">
        <v>0</v>
      </c>
      <c r="AP105" s="68"/>
    </row>
    <row r="106" spans="1:42">
      <c r="A106" s="7" t="s">
        <v>493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2">
        <v>0</v>
      </c>
      <c r="AP106" s="77"/>
    </row>
    <row r="107" spans="1:42">
      <c r="A107" s="7" t="s">
        <v>130</v>
      </c>
      <c r="B107" s="3"/>
      <c r="C107" s="4">
        <v>1.9900000000000001E-2</v>
      </c>
      <c r="D107" s="3"/>
      <c r="E107" s="3"/>
      <c r="F107" s="3"/>
      <c r="G107" s="3"/>
      <c r="H107" s="3"/>
      <c r="I107" s="4">
        <v>1.5599999999999999E-2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4">
        <v>0</v>
      </c>
      <c r="AP107" s="68"/>
    </row>
    <row r="108" spans="1:42">
      <c r="A108" s="7" t="s">
        <v>131</v>
      </c>
      <c r="B108" s="5"/>
      <c r="C108" s="2">
        <v>1.01E-2</v>
      </c>
      <c r="D108" s="2">
        <v>4.6100000000000004E-3</v>
      </c>
      <c r="E108" s="5"/>
      <c r="F108" s="5"/>
      <c r="G108" s="5"/>
      <c r="H108" s="2">
        <v>2.9399999999999999E-3</v>
      </c>
      <c r="I108" s="2">
        <v>4.8900000000000002E-3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2">
        <v>0</v>
      </c>
      <c r="AP108" s="77"/>
    </row>
    <row r="109" spans="1:42">
      <c r="A109" s="7" t="s">
        <v>494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4">
        <v>0</v>
      </c>
      <c r="AP109" s="68"/>
    </row>
    <row r="110" spans="1:42">
      <c r="A110" s="7" t="s">
        <v>132</v>
      </c>
      <c r="B110" s="5"/>
      <c r="C110" s="5"/>
      <c r="D110" s="5"/>
      <c r="E110" s="2">
        <v>4.0999999999999996</v>
      </c>
      <c r="F110" s="2">
        <v>4.4400000000000004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2">
        <v>1.61E-2</v>
      </c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2">
        <v>0</v>
      </c>
      <c r="AP110" s="77"/>
    </row>
    <row r="111" spans="1:42">
      <c r="A111" s="7" t="s">
        <v>133</v>
      </c>
      <c r="B111" s="4">
        <v>5.5E-2</v>
      </c>
      <c r="C111" s="4">
        <v>2.7300000000000001E-2</v>
      </c>
      <c r="D111" s="4">
        <v>1.04E-2</v>
      </c>
      <c r="E111" s="3"/>
      <c r="F111" s="4">
        <v>1.9199999999999998E-2</v>
      </c>
      <c r="G111" s="4">
        <v>1.8700000000000001E-2</v>
      </c>
      <c r="H111" s="4">
        <v>5.4199999999999998E-2</v>
      </c>
      <c r="I111" s="4">
        <v>4.8099999999999997E-2</v>
      </c>
      <c r="J111" s="4">
        <v>3.2599999999999997E-2</v>
      </c>
      <c r="K111" s="4">
        <v>1.7899999999999999E-2</v>
      </c>
      <c r="L111" s="4">
        <v>9.6600000000000005E-2</v>
      </c>
      <c r="M111" s="4">
        <v>7.6200000000000004E-2</v>
      </c>
      <c r="N111" s="4">
        <v>2.1600000000000001E-2</v>
      </c>
      <c r="O111" s="4">
        <v>2.46E-2</v>
      </c>
      <c r="P111" s="4">
        <v>2.6700000000000002E-2</v>
      </c>
      <c r="Q111" s="4">
        <v>1.4500000000000001E-2</v>
      </c>
      <c r="R111" s="4">
        <v>2.2200000000000001E-2</v>
      </c>
      <c r="S111" s="4">
        <v>0.13400000000000001</v>
      </c>
      <c r="T111" s="4">
        <v>0.23300000000000001</v>
      </c>
      <c r="U111" s="4">
        <v>6.5699999999999995E-2</v>
      </c>
      <c r="V111" s="4">
        <v>7.2499999999999995E-2</v>
      </c>
      <c r="W111" s="4">
        <v>2.6700000000000002E-2</v>
      </c>
      <c r="X111" s="4">
        <v>3.6400000000000002E-2</v>
      </c>
      <c r="Y111" s="4">
        <v>4.6600000000000003E-2</v>
      </c>
      <c r="Z111" s="4">
        <v>6.7900000000000002E-2</v>
      </c>
      <c r="AA111" s="3"/>
      <c r="AB111" s="4">
        <v>1.46E-2</v>
      </c>
      <c r="AC111" s="4">
        <v>0.222</v>
      </c>
      <c r="AD111" s="4">
        <v>1.45</v>
      </c>
      <c r="AE111" s="4">
        <v>1.47</v>
      </c>
      <c r="AF111" s="3"/>
      <c r="AG111" s="3"/>
      <c r="AH111" s="4">
        <v>5.5E-2</v>
      </c>
      <c r="AI111" s="4">
        <v>5.2200000000000003E-2</v>
      </c>
      <c r="AJ111" s="4">
        <v>5.6399999999999999E-2</v>
      </c>
      <c r="AK111" s="4">
        <v>4.2999999999999997E-2</v>
      </c>
      <c r="AL111" s="4">
        <v>5.4399999999999997E-2</v>
      </c>
      <c r="AM111" s="3"/>
      <c r="AN111" s="4">
        <v>5.2200000000000003E-2</v>
      </c>
      <c r="AO111" s="4">
        <v>5.3499999999999997E-3</v>
      </c>
      <c r="AP111" s="78">
        <v>10.199999999999999</v>
      </c>
    </row>
    <row r="112" spans="1:42">
      <c r="A112" s="7" t="s">
        <v>134</v>
      </c>
      <c r="B112" s="2">
        <v>0.51</v>
      </c>
      <c r="C112" s="2">
        <v>0.17599999999999999</v>
      </c>
      <c r="D112" s="2">
        <v>2.8799999999999999E-2</v>
      </c>
      <c r="E112" s="2">
        <v>5.5E-2</v>
      </c>
      <c r="F112" s="2">
        <v>0.183</v>
      </c>
      <c r="G112" s="5"/>
      <c r="H112" s="2">
        <v>0.624</v>
      </c>
      <c r="I112" s="2">
        <v>0.61699999999999999</v>
      </c>
      <c r="J112" s="2">
        <v>0.32300000000000001</v>
      </c>
      <c r="K112" s="2">
        <v>0.21099999999999999</v>
      </c>
      <c r="L112" s="2">
        <v>0.66800000000000004</v>
      </c>
      <c r="M112" s="2">
        <v>0.68</v>
      </c>
      <c r="N112" s="2">
        <v>0.25600000000000001</v>
      </c>
      <c r="O112" s="2">
        <v>0.34499999999999997</v>
      </c>
      <c r="P112" s="2">
        <v>0.27700000000000002</v>
      </c>
      <c r="Q112" s="2">
        <v>0.14599999999999999</v>
      </c>
      <c r="R112" s="2">
        <v>0.17799999999999999</v>
      </c>
      <c r="S112" s="2">
        <v>0.97399999999999998</v>
      </c>
      <c r="T112" s="2">
        <v>0.159</v>
      </c>
      <c r="U112" s="2">
        <v>0.80400000000000005</v>
      </c>
      <c r="V112" s="2">
        <v>0.623</v>
      </c>
      <c r="W112" s="2">
        <v>0.40400000000000003</v>
      </c>
      <c r="X112" s="2">
        <v>0.40600000000000003</v>
      </c>
      <c r="Y112" s="2">
        <v>0.60499999999999998</v>
      </c>
      <c r="Z112" s="2">
        <v>0.71799999999999997</v>
      </c>
      <c r="AA112" s="5"/>
      <c r="AB112" s="2">
        <v>0.24199999999999999</v>
      </c>
      <c r="AC112" s="2">
        <v>0.33200000000000002</v>
      </c>
      <c r="AD112" s="2">
        <v>0.26300000000000001</v>
      </c>
      <c r="AE112" s="2">
        <v>0.45400000000000001</v>
      </c>
      <c r="AF112" s="5"/>
      <c r="AG112" s="5"/>
      <c r="AH112" s="5"/>
      <c r="AI112" s="2">
        <v>0.60899999999999999</v>
      </c>
      <c r="AJ112" s="2">
        <v>0.56200000000000006</v>
      </c>
      <c r="AK112" s="2">
        <v>0.441</v>
      </c>
      <c r="AL112" s="2">
        <v>0.44600000000000001</v>
      </c>
      <c r="AM112" s="5"/>
      <c r="AN112" s="2">
        <v>0.51400000000000001</v>
      </c>
      <c r="AO112" s="2">
        <v>8.4199999999999997E-2</v>
      </c>
      <c r="AP112" s="79">
        <v>16.399999999999999</v>
      </c>
    </row>
    <row r="113" spans="1:42">
      <c r="A113" s="7" t="s">
        <v>495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4">
        <v>0</v>
      </c>
      <c r="AP113" s="68"/>
    </row>
    <row r="114" spans="1:42">
      <c r="A114" s="7" t="s">
        <v>496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2">
        <v>0</v>
      </c>
      <c r="AP114" s="77"/>
    </row>
    <row r="115" spans="1:42">
      <c r="A115" s="7" t="s">
        <v>497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4">
        <v>0</v>
      </c>
      <c r="AP115" s="68"/>
    </row>
    <row r="116" spans="1:42">
      <c r="A116" s="7" t="s">
        <v>498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2">
        <v>0</v>
      </c>
      <c r="AP116" s="77"/>
    </row>
    <row r="117" spans="1:42">
      <c r="A117" s="7" t="s">
        <v>499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4">
        <v>0</v>
      </c>
      <c r="AP117" s="68"/>
    </row>
    <row r="118" spans="1:42">
      <c r="A118" s="7" t="s">
        <v>135</v>
      </c>
      <c r="B118" s="2">
        <v>0.11799999999999999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2">
        <v>0.17199999999999999</v>
      </c>
      <c r="N118" s="2">
        <v>0.109</v>
      </c>
      <c r="O118" s="2">
        <v>0.13300000000000001</v>
      </c>
      <c r="P118" s="2">
        <v>0.17899999999999999</v>
      </c>
      <c r="Q118" s="5"/>
      <c r="R118" s="5"/>
      <c r="S118" s="2">
        <v>0.16300000000000001</v>
      </c>
      <c r="T118" s="2">
        <v>0.379</v>
      </c>
      <c r="U118" s="2">
        <v>0.20699999999999999</v>
      </c>
      <c r="V118" s="2">
        <v>0.20599999999999999</v>
      </c>
      <c r="W118" s="2">
        <v>0.14099999999999999</v>
      </c>
      <c r="X118" s="2">
        <v>0.13100000000000001</v>
      </c>
      <c r="Y118" s="2">
        <v>0.21199999999999999</v>
      </c>
      <c r="Z118" s="2">
        <v>0.28999999999999998</v>
      </c>
      <c r="AA118" s="5"/>
      <c r="AB118" s="5"/>
      <c r="AC118" s="5"/>
      <c r="AD118" s="5"/>
      <c r="AE118" s="2">
        <v>4.9400000000000004</v>
      </c>
      <c r="AF118" s="5"/>
      <c r="AG118" s="5"/>
      <c r="AH118" s="5"/>
      <c r="AI118" s="2">
        <v>0.16900000000000001</v>
      </c>
      <c r="AJ118" s="5"/>
      <c r="AK118" s="2">
        <v>1.68</v>
      </c>
      <c r="AL118" s="5"/>
      <c r="AM118" s="5"/>
      <c r="AN118" s="2">
        <v>0.92300000000000004</v>
      </c>
      <c r="AO118" s="2">
        <v>1.07</v>
      </c>
      <c r="AP118" s="79">
        <v>116</v>
      </c>
    </row>
    <row r="119" spans="1:42">
      <c r="A119" s="7" t="s">
        <v>500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4">
        <v>0</v>
      </c>
      <c r="AP119" s="68"/>
    </row>
    <row r="120" spans="1:42">
      <c r="A120" s="7" t="s">
        <v>136</v>
      </c>
      <c r="B120" s="5"/>
      <c r="C120" s="2">
        <v>9.1400000000000006E-3</v>
      </c>
      <c r="D120" s="2">
        <v>3.0100000000000001E-3</v>
      </c>
      <c r="E120" s="2">
        <v>3.7399999999999998E-3</v>
      </c>
      <c r="F120" s="5"/>
      <c r="G120" s="5"/>
      <c r="H120" s="2">
        <v>8.9800000000000004E-4</v>
      </c>
      <c r="I120" s="2">
        <v>4.6100000000000004E-3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2">
        <v>0</v>
      </c>
      <c r="AP120" s="77"/>
    </row>
    <row r="121" spans="1:42">
      <c r="A121" s="7" t="s">
        <v>501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4">
        <v>0</v>
      </c>
      <c r="AP121" s="68"/>
    </row>
    <row r="122" spans="1:42">
      <c r="A122" s="7" t="s">
        <v>502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2">
        <v>0</v>
      </c>
      <c r="AP122" s="77"/>
    </row>
    <row r="123" spans="1:42">
      <c r="A123" s="7" t="s">
        <v>503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4">
        <v>0</v>
      </c>
      <c r="AP123" s="68"/>
    </row>
    <row r="124" spans="1:42">
      <c r="A124" s="7" t="s">
        <v>137</v>
      </c>
      <c r="B124" s="2">
        <v>0.377</v>
      </c>
      <c r="C124" s="2">
        <v>0.1</v>
      </c>
      <c r="D124" s="2">
        <v>7.2499999999999995E-2</v>
      </c>
      <c r="E124" s="5"/>
      <c r="F124" s="5"/>
      <c r="G124" s="2">
        <v>4.4299999999999999E-2</v>
      </c>
      <c r="H124" s="2">
        <v>0.377</v>
      </c>
      <c r="I124" s="2">
        <v>0.33900000000000002</v>
      </c>
      <c r="J124" s="2">
        <v>0.13300000000000001</v>
      </c>
      <c r="K124" s="5"/>
      <c r="L124" s="5"/>
      <c r="M124" s="2">
        <v>0.73499999999999999</v>
      </c>
      <c r="N124" s="2">
        <v>0.70099999999999996</v>
      </c>
      <c r="O124" s="2">
        <v>0.55100000000000005</v>
      </c>
      <c r="P124" s="2">
        <v>0.44</v>
      </c>
      <c r="Q124" s="2">
        <v>0.17499999999999999</v>
      </c>
      <c r="R124" s="2">
        <v>8.9200000000000002E-2</v>
      </c>
      <c r="S124" s="2">
        <v>0.45200000000000001</v>
      </c>
      <c r="T124" s="2">
        <v>0.13800000000000001</v>
      </c>
      <c r="U124" s="2">
        <v>0.30099999999999999</v>
      </c>
      <c r="V124" s="2">
        <v>0.40899999999999997</v>
      </c>
      <c r="W124" s="2">
        <v>0.154</v>
      </c>
      <c r="X124" s="2">
        <v>0.14099999999999999</v>
      </c>
      <c r="Y124" s="2">
        <v>0.59699999999999998</v>
      </c>
      <c r="Z124" s="2">
        <v>0.44</v>
      </c>
      <c r="AA124" s="5"/>
      <c r="AB124" s="2">
        <v>0.21</v>
      </c>
      <c r="AC124" s="2">
        <v>0.23599999999999999</v>
      </c>
      <c r="AD124" s="2">
        <v>0.17299999999999999</v>
      </c>
      <c r="AE124" s="2">
        <v>0.78900000000000003</v>
      </c>
      <c r="AF124" s="5"/>
      <c r="AG124" s="5"/>
      <c r="AH124" s="2">
        <v>0.54300000000000004</v>
      </c>
      <c r="AI124" s="2">
        <v>0.746</v>
      </c>
      <c r="AJ124" s="5"/>
      <c r="AK124" s="2">
        <v>0.29499999999999998</v>
      </c>
      <c r="AL124" s="2">
        <v>0.441</v>
      </c>
      <c r="AM124" s="5"/>
      <c r="AN124" s="2">
        <v>0.50600000000000001</v>
      </c>
      <c r="AO124" s="2">
        <v>0.19</v>
      </c>
      <c r="AP124" s="79">
        <v>37.5</v>
      </c>
    </row>
    <row r="125" spans="1:42">
      <c r="A125" s="7" t="s">
        <v>504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4">
        <v>0</v>
      </c>
      <c r="AP125" s="68"/>
    </row>
    <row r="126" spans="1:42">
      <c r="A126" s="7" t="s">
        <v>138</v>
      </c>
      <c r="B126" s="2">
        <v>1.8200000000000001E-2</v>
      </c>
      <c r="C126" s="2">
        <v>1.9300000000000001E-2</v>
      </c>
      <c r="D126" s="2">
        <v>1.6E-2</v>
      </c>
      <c r="E126" s="2">
        <v>4.2500000000000003E-2</v>
      </c>
      <c r="F126" s="2">
        <v>5.1999999999999998E-2</v>
      </c>
      <c r="G126" s="2">
        <v>1.5800000000000002E-2</v>
      </c>
      <c r="H126" s="2">
        <v>1.78E-2</v>
      </c>
      <c r="I126" s="2">
        <v>1.54E-2</v>
      </c>
      <c r="J126" s="2">
        <v>2.5399999999999999E-2</v>
      </c>
      <c r="K126" s="2">
        <v>3.6299999999999999E-2</v>
      </c>
      <c r="L126" s="5"/>
      <c r="M126" s="2">
        <v>1.61E-2</v>
      </c>
      <c r="N126" s="2">
        <v>2.01E-2</v>
      </c>
      <c r="O126" s="2">
        <v>1.8700000000000001E-2</v>
      </c>
      <c r="P126" s="2">
        <v>1.8599999999999998E-2</v>
      </c>
      <c r="Q126" s="2">
        <v>3.5700000000000003E-2</v>
      </c>
      <c r="R126" s="2">
        <v>9.4699999999999993E-3</v>
      </c>
      <c r="S126" s="2">
        <v>9.5399999999999999E-3</v>
      </c>
      <c r="T126" s="2">
        <v>1.0200000000000001E-2</v>
      </c>
      <c r="U126" s="2">
        <v>2.1399999999999999E-2</v>
      </c>
      <c r="V126" s="2">
        <v>1.26E-2</v>
      </c>
      <c r="W126" s="2">
        <v>8.5500000000000003E-3</v>
      </c>
      <c r="X126" s="2">
        <v>5.1599999999999997E-3</v>
      </c>
      <c r="Y126" s="2">
        <v>7.3299999999999997E-3</v>
      </c>
      <c r="Z126" s="2">
        <v>6.9300000000000004E-3</v>
      </c>
      <c r="AA126" s="5"/>
      <c r="AB126" s="2">
        <v>1.66E-2</v>
      </c>
      <c r="AC126" s="2">
        <v>2.0400000000000001E-2</v>
      </c>
      <c r="AD126" s="2">
        <v>1.3299999999999999E-2</v>
      </c>
      <c r="AE126" s="2">
        <v>4.8800000000000003E-2</v>
      </c>
      <c r="AF126" s="5"/>
      <c r="AG126" s="5"/>
      <c r="AH126" s="2">
        <v>4.0600000000000002E-3</v>
      </c>
      <c r="AI126" s="2">
        <v>1.7999999999999999E-2</v>
      </c>
      <c r="AJ126" s="2">
        <v>2.5499999999999998E-2</v>
      </c>
      <c r="AK126" s="2">
        <v>2.86E-2</v>
      </c>
      <c r="AL126" s="2">
        <v>1.8200000000000001E-2</v>
      </c>
      <c r="AM126" s="5"/>
      <c r="AN126" s="2">
        <v>1.89E-2</v>
      </c>
      <c r="AO126" s="2">
        <v>9.4800000000000006E-3</v>
      </c>
      <c r="AP126" s="79">
        <v>50.2</v>
      </c>
    </row>
    <row r="127" spans="1:42">
      <c r="A127" s="7" t="s">
        <v>505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4">
        <v>0</v>
      </c>
      <c r="AP127" s="68"/>
    </row>
    <row r="128" spans="1:42">
      <c r="A128" s="7" t="s">
        <v>139</v>
      </c>
      <c r="B128" s="2">
        <v>7.3099999999999997E-3</v>
      </c>
      <c r="C128" s="2">
        <v>1.09E-2</v>
      </c>
      <c r="D128" s="5"/>
      <c r="E128" s="5"/>
      <c r="F128" s="2">
        <v>1.7500000000000002E-2</v>
      </c>
      <c r="G128" s="5"/>
      <c r="H128" s="2">
        <v>1.0200000000000001E-2</v>
      </c>
      <c r="I128" s="2">
        <v>1.0200000000000001E-2</v>
      </c>
      <c r="J128" s="5"/>
      <c r="K128" s="2">
        <v>1.7500000000000002E-2</v>
      </c>
      <c r="L128" s="2">
        <v>5.0999999999999997E-2</v>
      </c>
      <c r="M128" s="2">
        <v>3.2300000000000002E-2</v>
      </c>
      <c r="N128" s="2">
        <v>5.4900000000000001E-3</v>
      </c>
      <c r="O128" s="2">
        <v>4.9100000000000003E-3</v>
      </c>
      <c r="P128" s="2">
        <v>5.0600000000000003E-3</v>
      </c>
      <c r="Q128" s="2">
        <v>8.4100000000000008E-3</v>
      </c>
      <c r="R128" s="2">
        <v>5.8599999999999998E-3</v>
      </c>
      <c r="S128" s="2">
        <v>1.2500000000000001E-2</v>
      </c>
      <c r="T128" s="5"/>
      <c r="U128" s="2">
        <v>1.77E-2</v>
      </c>
      <c r="V128" s="2">
        <v>2.1899999999999999E-2</v>
      </c>
      <c r="W128" s="2">
        <v>8.4899999999999993E-3</v>
      </c>
      <c r="X128" s="2">
        <v>8.0499999999999999E-3</v>
      </c>
      <c r="Y128" s="2">
        <v>7.9799999999999992E-3</v>
      </c>
      <c r="Z128" s="2">
        <v>2.1299999999999999E-2</v>
      </c>
      <c r="AA128" s="5"/>
      <c r="AB128" s="2">
        <v>6.6299999999999996E-3</v>
      </c>
      <c r="AC128" s="2">
        <v>2.1600000000000001E-2</v>
      </c>
      <c r="AD128" s="2">
        <v>3.9199999999999999E-2</v>
      </c>
      <c r="AE128" s="2">
        <v>7.2999999999999995E-2</v>
      </c>
      <c r="AF128" s="5"/>
      <c r="AG128" s="5"/>
      <c r="AH128" s="2">
        <v>1.1299999999999999E-2</v>
      </c>
      <c r="AI128" s="2">
        <v>9.8300000000000002E-3</v>
      </c>
      <c r="AJ128" s="5"/>
      <c r="AK128" s="5"/>
      <c r="AL128" s="2">
        <v>8.0700000000000008E-3</v>
      </c>
      <c r="AM128" s="5"/>
      <c r="AN128" s="2">
        <v>9.75E-3</v>
      </c>
      <c r="AO128" s="2">
        <v>1.64E-3</v>
      </c>
      <c r="AP128" s="79">
        <v>16.8</v>
      </c>
    </row>
    <row r="129" spans="1:42">
      <c r="A129" s="7" t="s">
        <v>506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4">
        <v>0</v>
      </c>
      <c r="AP129" s="68"/>
    </row>
    <row r="130" spans="1:42">
      <c r="A130" s="7" t="s">
        <v>507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2">
        <v>0</v>
      </c>
      <c r="AP130" s="77"/>
    </row>
    <row r="131" spans="1:42">
      <c r="A131" s="7" t="s">
        <v>508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4">
        <v>0</v>
      </c>
      <c r="AP131" s="68"/>
    </row>
    <row r="132" spans="1:42">
      <c r="A132" s="7" t="s">
        <v>509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2">
        <v>0</v>
      </c>
      <c r="AP132" s="77"/>
    </row>
    <row r="133" spans="1:42">
      <c r="A133" s="7" t="s">
        <v>140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4">
        <v>0</v>
      </c>
      <c r="AP133" s="68"/>
    </row>
    <row r="134" spans="1:42">
      <c r="A134" s="7" t="s">
        <v>141</v>
      </c>
      <c r="B134" s="5"/>
      <c r="C134" s="5"/>
      <c r="D134" s="5"/>
      <c r="E134" s="2">
        <v>1.87</v>
      </c>
      <c r="F134" s="2">
        <v>0.26300000000000001</v>
      </c>
      <c r="G134" s="5"/>
      <c r="H134" s="5"/>
      <c r="I134" s="5"/>
      <c r="J134" s="5"/>
      <c r="K134" s="2">
        <v>0.28100000000000003</v>
      </c>
      <c r="L134" s="5"/>
      <c r="M134" s="5"/>
      <c r="N134" s="5"/>
      <c r="O134" s="5"/>
      <c r="P134" s="5"/>
      <c r="Q134" s="2">
        <v>0.29299999999999998</v>
      </c>
      <c r="R134" s="5"/>
      <c r="S134" s="5"/>
      <c r="T134" s="5"/>
      <c r="U134" s="2">
        <v>2.2599999999999999E-2</v>
      </c>
      <c r="V134" s="5"/>
      <c r="W134" s="5"/>
      <c r="X134" s="5"/>
      <c r="Y134" s="2">
        <v>2.5600000000000002E-3</v>
      </c>
      <c r="Z134" s="5"/>
      <c r="AA134" s="5"/>
      <c r="AB134" s="5"/>
      <c r="AC134" s="5"/>
      <c r="AD134" s="5"/>
      <c r="AE134" s="2">
        <v>0.23599999999999999</v>
      </c>
      <c r="AF134" s="5"/>
      <c r="AG134" s="5"/>
      <c r="AH134" s="5"/>
      <c r="AI134" s="5"/>
      <c r="AJ134" s="5"/>
      <c r="AK134" s="2">
        <v>0.13</v>
      </c>
      <c r="AL134" s="5"/>
      <c r="AM134" s="5"/>
      <c r="AN134" s="2">
        <v>0.13</v>
      </c>
      <c r="AO134" s="5"/>
      <c r="AP134" s="79">
        <v>0</v>
      </c>
    </row>
    <row r="135" spans="1:42">
      <c r="A135" s="7" t="s">
        <v>142</v>
      </c>
      <c r="B135" s="3"/>
      <c r="C135" s="3"/>
      <c r="D135" s="3"/>
      <c r="E135" s="4">
        <v>0.48499999999999999</v>
      </c>
      <c r="F135" s="3"/>
      <c r="G135" s="3"/>
      <c r="H135" s="3"/>
      <c r="I135" s="3"/>
      <c r="J135" s="3"/>
      <c r="K135" s="4">
        <v>6.1199999999999997E-2</v>
      </c>
      <c r="L135" s="3"/>
      <c r="M135" s="3"/>
      <c r="N135" s="3"/>
      <c r="O135" s="3"/>
      <c r="P135" s="3"/>
      <c r="Q135" s="4">
        <v>6.1499999999999999E-2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4">
        <v>0</v>
      </c>
      <c r="AP135" s="68"/>
    </row>
    <row r="136" spans="1:42">
      <c r="A136" s="7" t="s">
        <v>510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2">
        <v>0</v>
      </c>
      <c r="AP136" s="77"/>
    </row>
    <row r="137" spans="1:42">
      <c r="A137" s="7" t="s">
        <v>511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4">
        <v>0</v>
      </c>
      <c r="AP137" s="68"/>
    </row>
    <row r="138" spans="1:42">
      <c r="A138" s="7" t="s">
        <v>512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2">
        <v>0</v>
      </c>
      <c r="AP138" s="77"/>
    </row>
    <row r="139" spans="1:42">
      <c r="A139" s="7" t="s">
        <v>513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4">
        <v>0</v>
      </c>
      <c r="AP139" s="68"/>
    </row>
    <row r="140" spans="1:42">
      <c r="A140" s="7" t="s">
        <v>514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2">
        <v>0</v>
      </c>
      <c r="AP140" s="77"/>
    </row>
    <row r="141" spans="1:42">
      <c r="A141" s="7" t="s">
        <v>515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4">
        <v>0</v>
      </c>
      <c r="AP141" s="68"/>
    </row>
    <row r="142" spans="1:42">
      <c r="A142" s="7" t="s">
        <v>516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2">
        <v>0</v>
      </c>
      <c r="AP142" s="77"/>
    </row>
    <row r="143" spans="1:42">
      <c r="A143" s="7" t="s">
        <v>517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4">
        <v>0</v>
      </c>
      <c r="AP143" s="68"/>
    </row>
    <row r="144" spans="1:42">
      <c r="A144" s="7" t="s">
        <v>143</v>
      </c>
      <c r="B144" s="5"/>
      <c r="C144" s="2">
        <v>5.4600000000000003E-2</v>
      </c>
      <c r="D144" s="2">
        <v>0.10299999999999999</v>
      </c>
      <c r="E144" s="5"/>
      <c r="F144" s="5"/>
      <c r="G144" s="5"/>
      <c r="H144" s="2">
        <v>4.5600000000000002E-2</v>
      </c>
      <c r="I144" s="2">
        <v>1.84E-2</v>
      </c>
      <c r="J144" s="2">
        <v>0.13500000000000001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2">
        <v>2.8199999999999999E-2</v>
      </c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2">
        <v>0</v>
      </c>
      <c r="AP144" s="77"/>
    </row>
    <row r="145" spans="1:42">
      <c r="A145" s="7" t="s">
        <v>518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4">
        <v>0</v>
      </c>
      <c r="AP145" s="68"/>
    </row>
    <row r="146" spans="1:42">
      <c r="A146" s="7" t="s">
        <v>519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2">
        <v>0</v>
      </c>
      <c r="AP146" s="77"/>
    </row>
    <row r="147" spans="1:42">
      <c r="A147" s="7" t="s">
        <v>144</v>
      </c>
      <c r="B147" s="4">
        <v>2.5100000000000001E-3</v>
      </c>
      <c r="C147" s="4">
        <v>8.2699999999999996E-3</v>
      </c>
      <c r="D147" s="4">
        <v>2.5100000000000001E-3</v>
      </c>
      <c r="E147" s="4">
        <v>8.2000000000000007E-3</v>
      </c>
      <c r="F147" s="4">
        <v>8.1099999999999992E-3</v>
      </c>
      <c r="G147" s="4">
        <v>2.0500000000000002E-3</v>
      </c>
      <c r="H147" s="4">
        <v>2.7100000000000002E-3</v>
      </c>
      <c r="I147" s="4">
        <v>4.6499999999999996E-3</v>
      </c>
      <c r="J147" s="4">
        <v>5.2700000000000004E-3</v>
      </c>
      <c r="K147" s="4">
        <v>7.5799999999999999E-3</v>
      </c>
      <c r="L147" s="3"/>
      <c r="M147" s="4">
        <v>1.14E-3</v>
      </c>
      <c r="N147" s="4">
        <v>2.82E-3</v>
      </c>
      <c r="O147" s="4">
        <v>2.3600000000000001E-3</v>
      </c>
      <c r="P147" s="4">
        <v>2.8E-3</v>
      </c>
      <c r="Q147" s="3"/>
      <c r="R147" s="4">
        <v>1.8400000000000001E-3</v>
      </c>
      <c r="S147" s="4">
        <v>7.8299999999999995E-4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4">
        <v>2.32E-3</v>
      </c>
      <c r="AJ147" s="3"/>
      <c r="AK147" s="4">
        <v>5.8100000000000001E-3</v>
      </c>
      <c r="AL147" s="3"/>
      <c r="AM147" s="3"/>
      <c r="AN147" s="4">
        <v>4.0600000000000002E-3</v>
      </c>
      <c r="AO147" s="4">
        <v>2.47E-3</v>
      </c>
      <c r="AP147" s="78">
        <v>60.8</v>
      </c>
    </row>
    <row r="148" spans="1:42">
      <c r="A148" s="7" t="s">
        <v>520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2">
        <v>0</v>
      </c>
      <c r="AP148" s="77"/>
    </row>
    <row r="149" spans="1:42">
      <c r="A149" s="7" t="s">
        <v>521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4">
        <v>0</v>
      </c>
      <c r="AP149" s="68"/>
    </row>
    <row r="150" spans="1:42">
      <c r="A150" s="7" t="s">
        <v>522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2">
        <v>0</v>
      </c>
      <c r="AP150" s="77"/>
    </row>
    <row r="151" spans="1:42">
      <c r="A151" s="7" t="s">
        <v>523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4">
        <v>0</v>
      </c>
      <c r="AP151" s="68"/>
    </row>
    <row r="152" spans="1:42">
      <c r="A152" s="7" t="s">
        <v>524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2">
        <v>0</v>
      </c>
      <c r="AP152" s="77"/>
    </row>
    <row r="153" spans="1:42">
      <c r="A153" s="7" t="s">
        <v>145</v>
      </c>
      <c r="B153" s="4">
        <v>2.64E-3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">
        <v>2.3800000000000002E-3</v>
      </c>
      <c r="N153" s="4">
        <v>1.6000000000000001E-3</v>
      </c>
      <c r="O153" s="4">
        <v>1.8600000000000001E-3</v>
      </c>
      <c r="P153" s="4">
        <v>1.48E-3</v>
      </c>
      <c r="Q153" s="3"/>
      <c r="R153" s="3"/>
      <c r="S153" s="4">
        <v>1.6199999999999999E-3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4">
        <v>2.31E-3</v>
      </c>
      <c r="AJ153" s="3"/>
      <c r="AK153" s="3"/>
      <c r="AL153" s="3"/>
      <c r="AM153" s="3"/>
      <c r="AN153" s="4">
        <v>2.31E-3</v>
      </c>
      <c r="AO153" s="3"/>
      <c r="AP153" s="78">
        <v>0</v>
      </c>
    </row>
    <row r="154" spans="1:42">
      <c r="A154" s="7" t="s">
        <v>525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2">
        <v>0</v>
      </c>
      <c r="AP154" s="77"/>
    </row>
    <row r="155" spans="1:42">
      <c r="A155" s="7" t="s">
        <v>526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4">
        <v>0</v>
      </c>
      <c r="AP155" s="68"/>
    </row>
    <row r="156" spans="1:42">
      <c r="A156" s="7" t="s">
        <v>527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2">
        <v>0</v>
      </c>
      <c r="AP156" s="77"/>
    </row>
    <row r="157" spans="1:42">
      <c r="A157" s="7" t="s">
        <v>528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4">
        <v>0</v>
      </c>
      <c r="AP157" s="68"/>
    </row>
    <row r="158" spans="1:42">
      <c r="A158" s="7" t="s">
        <v>146</v>
      </c>
      <c r="B158" s="2">
        <v>1.7100000000000001E-2</v>
      </c>
      <c r="C158" s="2">
        <v>1.9099999999999999E-2</v>
      </c>
      <c r="D158" s="2">
        <v>8.8500000000000002E-3</v>
      </c>
      <c r="E158" s="5"/>
      <c r="F158" s="5"/>
      <c r="G158" s="2">
        <v>2.8400000000000002E-2</v>
      </c>
      <c r="H158" s="2">
        <v>3.8300000000000001E-2</v>
      </c>
      <c r="I158" s="2">
        <v>3.1899999999999998E-2</v>
      </c>
      <c r="J158" s="2">
        <v>3.6400000000000002E-2</v>
      </c>
      <c r="K158" s="2">
        <v>6.8000000000000005E-2</v>
      </c>
      <c r="L158" s="5"/>
      <c r="M158" s="2">
        <v>1.4800000000000001E-2</v>
      </c>
      <c r="N158" s="2">
        <v>7.7200000000000003E-3</v>
      </c>
      <c r="O158" s="2">
        <v>1.09E-2</v>
      </c>
      <c r="P158" s="2">
        <v>1.46E-2</v>
      </c>
      <c r="Q158" s="5"/>
      <c r="R158" s="2">
        <v>2.6700000000000002E-2</v>
      </c>
      <c r="S158" s="2">
        <v>4.6800000000000001E-2</v>
      </c>
      <c r="T158" s="2">
        <v>3.6999999999999998E-2</v>
      </c>
      <c r="U158" s="2">
        <v>5.9799999999999999E-2</v>
      </c>
      <c r="V158" s="2">
        <v>9.8599999999999993E-2</v>
      </c>
      <c r="W158" s="2">
        <v>4.8500000000000001E-2</v>
      </c>
      <c r="X158" s="2">
        <v>4.4400000000000002E-2</v>
      </c>
      <c r="Y158" s="2">
        <v>8.14E-2</v>
      </c>
      <c r="Z158" s="2">
        <v>9.6799999999999997E-2</v>
      </c>
      <c r="AA158" s="5"/>
      <c r="AB158" s="2">
        <v>2.5399999999999999E-2</v>
      </c>
      <c r="AC158" s="2">
        <v>2.8000000000000001E-2</v>
      </c>
      <c r="AD158" s="2">
        <v>3.8300000000000001E-2</v>
      </c>
      <c r="AE158" s="5"/>
      <c r="AF158" s="5"/>
      <c r="AG158" s="5"/>
      <c r="AH158" s="2">
        <v>6.7299999999999999E-2</v>
      </c>
      <c r="AI158" s="2">
        <v>1.8599999999999998E-2</v>
      </c>
      <c r="AJ158" s="5"/>
      <c r="AK158" s="2">
        <v>9.5000000000000001E-2</v>
      </c>
      <c r="AL158" s="2">
        <v>4.07E-2</v>
      </c>
      <c r="AM158" s="5"/>
      <c r="AN158" s="2">
        <v>5.5399999999999998E-2</v>
      </c>
      <c r="AO158" s="2">
        <v>3.3099999999999997E-2</v>
      </c>
      <c r="AP158" s="79">
        <v>59.7</v>
      </c>
    </row>
    <row r="159" spans="1:42">
      <c r="A159" s="7" t="s">
        <v>529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4">
        <v>0</v>
      </c>
      <c r="AP159" s="68"/>
    </row>
    <row r="160" spans="1:42">
      <c r="A160" s="7" t="s">
        <v>147</v>
      </c>
      <c r="B160" s="2">
        <v>1.6799999999999999E-2</v>
      </c>
      <c r="C160" s="2">
        <v>1.7299999999999999E-2</v>
      </c>
      <c r="D160" s="5"/>
      <c r="E160" s="2">
        <v>1.44E-2</v>
      </c>
      <c r="F160" s="2">
        <v>2.6800000000000001E-2</v>
      </c>
      <c r="G160" s="2">
        <v>2.01E-2</v>
      </c>
      <c r="H160" s="2">
        <v>1.9E-2</v>
      </c>
      <c r="I160" s="2">
        <v>1.9300000000000001E-2</v>
      </c>
      <c r="J160" s="2">
        <v>3.8100000000000002E-2</v>
      </c>
      <c r="K160" s="2">
        <v>1.2800000000000001E-2</v>
      </c>
      <c r="L160" s="5"/>
      <c r="M160" s="2">
        <v>1.6799999999999999E-2</v>
      </c>
      <c r="N160" s="2">
        <v>1.5100000000000001E-2</v>
      </c>
      <c r="O160" s="2">
        <v>1.0200000000000001E-2</v>
      </c>
      <c r="P160" s="2">
        <v>1.2999999999999999E-2</v>
      </c>
      <c r="Q160" s="2">
        <v>1.11E-2</v>
      </c>
      <c r="R160" s="2">
        <v>0.02</v>
      </c>
      <c r="S160" s="2">
        <v>2.1999999999999999E-2</v>
      </c>
      <c r="T160" s="2">
        <v>5.6599999999999998E-2</v>
      </c>
      <c r="U160" s="2">
        <v>1.8599999999999998E-2</v>
      </c>
      <c r="V160" s="2">
        <v>1.9E-2</v>
      </c>
      <c r="W160" s="2">
        <v>2.9100000000000001E-2</v>
      </c>
      <c r="X160" s="2">
        <v>1.8700000000000001E-2</v>
      </c>
      <c r="Y160" s="2">
        <v>2.0400000000000001E-2</v>
      </c>
      <c r="Z160" s="2">
        <v>1.7600000000000001E-2</v>
      </c>
      <c r="AA160" s="5"/>
      <c r="AB160" s="2">
        <v>2.2100000000000002E-2</v>
      </c>
      <c r="AC160" s="2">
        <v>2.41E-2</v>
      </c>
      <c r="AD160" s="2">
        <v>3.9300000000000002E-2</v>
      </c>
      <c r="AE160" s="2">
        <v>2.87E-2</v>
      </c>
      <c r="AF160" s="5"/>
      <c r="AG160" s="5"/>
      <c r="AH160" s="2">
        <v>1.7999999999999999E-2</v>
      </c>
      <c r="AI160" s="2">
        <v>1.23E-2</v>
      </c>
      <c r="AJ160" s="2">
        <v>5.8000000000000003E-2</v>
      </c>
      <c r="AK160" s="2">
        <v>1.66E-2</v>
      </c>
      <c r="AL160" s="2">
        <v>1.67E-2</v>
      </c>
      <c r="AM160" s="5"/>
      <c r="AN160" s="2">
        <v>2.4299999999999999E-2</v>
      </c>
      <c r="AO160" s="2">
        <v>1.9E-2</v>
      </c>
      <c r="AP160" s="79">
        <v>77.900000000000006</v>
      </c>
    </row>
    <row r="161" spans="1:42">
      <c r="A161" s="7" t="s">
        <v>530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4">
        <v>0</v>
      </c>
      <c r="AP161" s="68"/>
    </row>
    <row r="162" spans="1:42">
      <c r="A162" s="7" t="s">
        <v>531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2">
        <v>0</v>
      </c>
      <c r="AP162" s="77"/>
    </row>
    <row r="163" spans="1:42">
      <c r="A163" s="7" t="s">
        <v>532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4">
        <v>0</v>
      </c>
      <c r="AP163" s="68"/>
    </row>
    <row r="164" spans="1:42">
      <c r="A164" s="7" t="s">
        <v>148</v>
      </c>
      <c r="B164" s="2">
        <v>8.3199999999999996E-2</v>
      </c>
      <c r="C164" s="2">
        <v>5.2999999999999999E-2</v>
      </c>
      <c r="D164" s="2">
        <v>5.1999999999999998E-2</v>
      </c>
      <c r="E164" s="2">
        <v>0.29699999999999999</v>
      </c>
      <c r="F164" s="2">
        <v>0.60199999999999998</v>
      </c>
      <c r="G164" s="2">
        <v>0.221</v>
      </c>
      <c r="H164" s="2">
        <v>9.3200000000000005E-2</v>
      </c>
      <c r="I164" s="2">
        <v>6.7199999999999996E-2</v>
      </c>
      <c r="J164" s="2">
        <v>0.106</v>
      </c>
      <c r="K164" s="2">
        <v>7.0099999999999996E-2</v>
      </c>
      <c r="L164" s="5"/>
      <c r="M164" s="2">
        <v>9.4100000000000003E-2</v>
      </c>
      <c r="N164" s="2">
        <v>8.3500000000000005E-2</v>
      </c>
      <c r="O164" s="2">
        <v>0.108</v>
      </c>
      <c r="P164" s="2">
        <v>0.109</v>
      </c>
      <c r="Q164" s="2">
        <v>7.0999999999999994E-2</v>
      </c>
      <c r="R164" s="2">
        <v>4.1300000000000003E-2</v>
      </c>
      <c r="S164" s="2">
        <v>4.1099999999999998E-2</v>
      </c>
      <c r="T164" s="2">
        <v>6.46</v>
      </c>
      <c r="U164" s="2">
        <v>0.36599999999999999</v>
      </c>
      <c r="V164" s="2">
        <v>0.36499999999999999</v>
      </c>
      <c r="W164" s="2">
        <v>0.54</v>
      </c>
      <c r="X164" s="2">
        <v>0.192</v>
      </c>
      <c r="Y164" s="2">
        <v>0.29899999999999999</v>
      </c>
      <c r="Z164" s="2">
        <v>0.57999999999999996</v>
      </c>
      <c r="AA164" s="5"/>
      <c r="AB164" s="2">
        <v>0.14699999999999999</v>
      </c>
      <c r="AC164" s="2">
        <v>6.7500000000000004E-2</v>
      </c>
      <c r="AD164" s="2">
        <v>7.0999999999999994E-2</v>
      </c>
      <c r="AE164" s="2">
        <v>0.16800000000000001</v>
      </c>
      <c r="AF164" s="5"/>
      <c r="AG164" s="5"/>
      <c r="AH164" s="2">
        <v>0.255</v>
      </c>
      <c r="AI164" s="2">
        <v>9.8299999999999998E-2</v>
      </c>
      <c r="AJ164" s="2">
        <v>7.8200000000000006E-2</v>
      </c>
      <c r="AK164" s="2">
        <v>0.114</v>
      </c>
      <c r="AL164" s="2">
        <v>9.3299999999999994E-2</v>
      </c>
      <c r="AM164" s="5"/>
      <c r="AN164" s="2">
        <v>0.128</v>
      </c>
      <c r="AO164" s="2">
        <v>7.22E-2</v>
      </c>
      <c r="AP164" s="79">
        <v>56.6</v>
      </c>
    </row>
    <row r="165" spans="1:42">
      <c r="A165" s="7" t="s">
        <v>149</v>
      </c>
      <c r="B165" s="4">
        <v>8.0199999999999994E-3</v>
      </c>
      <c r="C165" s="4">
        <v>1.37E-2</v>
      </c>
      <c r="D165" s="3"/>
      <c r="E165" s="3"/>
      <c r="F165" s="4">
        <v>0.18</v>
      </c>
      <c r="G165" s="3"/>
      <c r="H165" s="3"/>
      <c r="I165" s="3"/>
      <c r="J165" s="3"/>
      <c r="K165" s="3"/>
      <c r="L165" s="3"/>
      <c r="M165" s="4">
        <v>1.2800000000000001E-2</v>
      </c>
      <c r="N165" s="4">
        <v>6.8300000000000001E-3</v>
      </c>
      <c r="O165" s="4">
        <v>6.8500000000000002E-3</v>
      </c>
      <c r="P165" s="4">
        <v>1.15E-2</v>
      </c>
      <c r="Q165" s="3"/>
      <c r="R165" s="3"/>
      <c r="S165" s="4">
        <v>1.89E-2</v>
      </c>
      <c r="T165" s="4">
        <v>0.69199999999999995</v>
      </c>
      <c r="U165" s="4">
        <v>0.10199999999999999</v>
      </c>
      <c r="V165" s="4">
        <v>0.11600000000000001</v>
      </c>
      <c r="W165" s="4">
        <v>0.18099999999999999</v>
      </c>
      <c r="X165" s="4">
        <v>7.1499999999999994E-2</v>
      </c>
      <c r="Y165" s="4">
        <v>0.107</v>
      </c>
      <c r="Z165" s="4">
        <v>0.17699999999999999</v>
      </c>
      <c r="AA165" s="3"/>
      <c r="AB165" s="4">
        <v>3.78E-2</v>
      </c>
      <c r="AC165" s="3"/>
      <c r="AD165" s="4">
        <v>1.8499999999999999E-2</v>
      </c>
      <c r="AE165" s="4">
        <v>7.9000000000000001E-2</v>
      </c>
      <c r="AF165" s="3"/>
      <c r="AG165" s="3"/>
      <c r="AH165" s="4">
        <v>6.9199999999999998E-2</v>
      </c>
      <c r="AI165" s="4">
        <v>1.2699999999999999E-2</v>
      </c>
      <c r="AJ165" s="3"/>
      <c r="AK165" s="4">
        <v>2.6800000000000001E-2</v>
      </c>
      <c r="AL165" s="3"/>
      <c r="AM165" s="3"/>
      <c r="AN165" s="4">
        <v>3.6200000000000003E-2</v>
      </c>
      <c r="AO165" s="4">
        <v>2.9399999999999999E-2</v>
      </c>
      <c r="AP165" s="78">
        <v>81.2</v>
      </c>
    </row>
    <row r="166" spans="1:42">
      <c r="A166" s="7" t="s">
        <v>150</v>
      </c>
      <c r="B166" s="2">
        <v>4.45E-3</v>
      </c>
      <c r="C166" s="2">
        <v>6.5199999999999998E-3</v>
      </c>
      <c r="D166" s="2">
        <v>2.2699999999999999E-3</v>
      </c>
      <c r="E166" s="5"/>
      <c r="F166" s="5"/>
      <c r="G166" s="2">
        <v>1.57E-3</v>
      </c>
      <c r="H166" s="5"/>
      <c r="I166" s="2">
        <v>2.81E-3</v>
      </c>
      <c r="J166" s="5"/>
      <c r="K166" s="5"/>
      <c r="L166" s="5"/>
      <c r="M166" s="2">
        <v>2.8400000000000001E-3</v>
      </c>
      <c r="N166" s="2">
        <v>4.3E-3</v>
      </c>
      <c r="O166" s="2">
        <v>4.2399999999999998E-3</v>
      </c>
      <c r="P166" s="2">
        <v>3.9399999999999999E-3</v>
      </c>
      <c r="Q166" s="2">
        <v>3.7799999999999999E-3</v>
      </c>
      <c r="R166" s="2">
        <v>1.41E-3</v>
      </c>
      <c r="S166" s="2">
        <v>1.23E-3</v>
      </c>
      <c r="T166" s="2">
        <v>2.2799999999999999E-3</v>
      </c>
      <c r="U166" s="2">
        <v>5.0800000000000003E-3</v>
      </c>
      <c r="V166" s="2">
        <v>1.7799999999999999E-3</v>
      </c>
      <c r="W166" s="2">
        <v>1.6100000000000001E-3</v>
      </c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2">
        <v>3.46E-3</v>
      </c>
      <c r="AJ166" s="5"/>
      <c r="AK166" s="5"/>
      <c r="AL166" s="5"/>
      <c r="AM166" s="5"/>
      <c r="AN166" s="2">
        <v>3.46E-3</v>
      </c>
      <c r="AO166" s="5"/>
      <c r="AP166" s="79">
        <v>0</v>
      </c>
    </row>
    <row r="167" spans="1:42">
      <c r="A167" s="7" t="s">
        <v>533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4">
        <v>0</v>
      </c>
      <c r="AP167" s="68"/>
    </row>
    <row r="168" spans="1:42">
      <c r="A168" s="7" t="s">
        <v>151</v>
      </c>
      <c r="B168" s="2">
        <v>2.1499999999999998E-2</v>
      </c>
      <c r="C168" s="2">
        <v>2.1499999999999998E-2</v>
      </c>
      <c r="D168" s="2">
        <v>1.03E-2</v>
      </c>
      <c r="E168" s="5"/>
      <c r="F168" s="5"/>
      <c r="G168" s="5"/>
      <c r="H168" s="2">
        <v>2.0799999999999999E-2</v>
      </c>
      <c r="I168" s="2">
        <v>2.01E-2</v>
      </c>
      <c r="J168" s="2">
        <v>2.87E-2</v>
      </c>
      <c r="K168" s="2">
        <v>1.6899999999999998E-2</v>
      </c>
      <c r="L168" s="5"/>
      <c r="M168" s="2">
        <v>2.9899999999999999E-2</v>
      </c>
      <c r="N168" s="2">
        <v>1.09E-2</v>
      </c>
      <c r="O168" s="2">
        <v>6.5199999999999998E-3</v>
      </c>
      <c r="P168" s="2">
        <v>1.9300000000000001E-2</v>
      </c>
      <c r="Q168" s="5"/>
      <c r="R168" s="5"/>
      <c r="S168" s="2">
        <v>3.4599999999999999E-2</v>
      </c>
      <c r="T168" s="2">
        <v>2.3900000000000001E-2</v>
      </c>
      <c r="U168" s="2">
        <v>1.2500000000000001E-2</v>
      </c>
      <c r="V168" s="2">
        <v>1.9400000000000001E-2</v>
      </c>
      <c r="W168" s="2">
        <v>3.5200000000000002E-2</v>
      </c>
      <c r="X168" s="2">
        <v>2.07E-2</v>
      </c>
      <c r="Y168" s="2">
        <v>3.6799999999999999E-2</v>
      </c>
      <c r="Z168" s="2">
        <v>5.16E-2</v>
      </c>
      <c r="AA168" s="5"/>
      <c r="AB168" s="5"/>
      <c r="AC168" s="5"/>
      <c r="AD168" s="5"/>
      <c r="AE168" s="5"/>
      <c r="AF168" s="5"/>
      <c r="AG168" s="5"/>
      <c r="AH168" s="2">
        <v>2.3599999999999999E-2</v>
      </c>
      <c r="AI168" s="2">
        <v>8.8300000000000003E-2</v>
      </c>
      <c r="AJ168" s="5"/>
      <c r="AK168" s="5"/>
      <c r="AL168" s="5"/>
      <c r="AM168" s="5"/>
      <c r="AN168" s="2">
        <v>5.6000000000000001E-2</v>
      </c>
      <c r="AO168" s="2">
        <v>4.58E-2</v>
      </c>
      <c r="AP168" s="79">
        <v>81.8</v>
      </c>
    </row>
    <row r="169" spans="1:42">
      <c r="A169" s="7" t="s">
        <v>534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4">
        <v>0</v>
      </c>
      <c r="AP169" s="68"/>
    </row>
    <row r="170" spans="1:42">
      <c r="A170" s="7" t="s">
        <v>152</v>
      </c>
      <c r="B170" s="2">
        <v>0.157</v>
      </c>
      <c r="C170" s="5"/>
      <c r="D170" s="2">
        <v>0.17699999999999999</v>
      </c>
      <c r="E170" s="5"/>
      <c r="F170" s="5"/>
      <c r="G170" s="5"/>
      <c r="H170" s="2">
        <v>0.22900000000000001</v>
      </c>
      <c r="I170" s="2">
        <v>0.26500000000000001</v>
      </c>
      <c r="J170" s="2">
        <v>0.22</v>
      </c>
      <c r="K170" s="2">
        <v>4.9000000000000002E-2</v>
      </c>
      <c r="L170" s="5"/>
      <c r="M170" s="2">
        <v>0.21</v>
      </c>
      <c r="N170" s="2">
        <v>0.14499999999999999</v>
      </c>
      <c r="O170" s="2">
        <v>0.15</v>
      </c>
      <c r="P170" s="2">
        <v>0.17399999999999999</v>
      </c>
      <c r="Q170" s="5"/>
      <c r="R170" s="5"/>
      <c r="S170" s="2">
        <v>0.187</v>
      </c>
      <c r="T170" s="2">
        <v>0.55100000000000005</v>
      </c>
      <c r="U170" s="2">
        <v>0.31900000000000001</v>
      </c>
      <c r="V170" s="2">
        <v>0.40799999999999997</v>
      </c>
      <c r="W170" s="2">
        <v>0.41599999999999998</v>
      </c>
      <c r="X170" s="2">
        <v>0.20300000000000001</v>
      </c>
      <c r="Y170" s="2">
        <v>0.34799999999999998</v>
      </c>
      <c r="Z170" s="2">
        <v>0.437</v>
      </c>
      <c r="AA170" s="5"/>
      <c r="AB170" s="5"/>
      <c r="AC170" s="5"/>
      <c r="AD170" s="5"/>
      <c r="AE170" s="5"/>
      <c r="AF170" s="5"/>
      <c r="AG170" s="5"/>
      <c r="AH170" s="5"/>
      <c r="AI170" s="2">
        <v>0.24399999999999999</v>
      </c>
      <c r="AJ170" s="5"/>
      <c r="AK170" s="5"/>
      <c r="AL170" s="5"/>
      <c r="AM170" s="5"/>
      <c r="AN170" s="2">
        <v>0.24399999999999999</v>
      </c>
      <c r="AO170" s="5"/>
      <c r="AP170" s="79">
        <v>0</v>
      </c>
    </row>
    <row r="171" spans="1:42">
      <c r="A171" s="7" t="s">
        <v>153</v>
      </c>
      <c r="B171" s="4">
        <v>0.628</v>
      </c>
      <c r="C171" s="4">
        <v>0.31</v>
      </c>
      <c r="D171" s="4">
        <v>0.21199999999999999</v>
      </c>
      <c r="E171" s="3"/>
      <c r="F171" s="4">
        <v>1.5</v>
      </c>
      <c r="G171" s="4">
        <v>0.29699999999999999</v>
      </c>
      <c r="H171" s="4">
        <v>0.374</v>
      </c>
      <c r="I171" s="4">
        <v>0.377</v>
      </c>
      <c r="J171" s="4">
        <v>0.377</v>
      </c>
      <c r="K171" s="4">
        <v>0.41299999999999998</v>
      </c>
      <c r="L171" s="3"/>
      <c r="M171" s="4">
        <v>0.73799999999999999</v>
      </c>
      <c r="N171" s="4">
        <v>0.51100000000000001</v>
      </c>
      <c r="O171" s="4">
        <v>0.46400000000000002</v>
      </c>
      <c r="P171" s="4">
        <v>0.59</v>
      </c>
      <c r="Q171" s="4">
        <v>0.41099999999999998</v>
      </c>
      <c r="R171" s="4">
        <v>0.18099999999999999</v>
      </c>
      <c r="S171" s="4">
        <v>0.77700000000000002</v>
      </c>
      <c r="T171" s="4">
        <v>0.65800000000000003</v>
      </c>
      <c r="U171" s="4">
        <v>0.41299999999999998</v>
      </c>
      <c r="V171" s="4">
        <v>0.60799999999999998</v>
      </c>
      <c r="W171" s="4">
        <v>0.41399999999999998</v>
      </c>
      <c r="X171" s="4">
        <v>0.56899999999999995</v>
      </c>
      <c r="Y171" s="4">
        <v>0.69399999999999995</v>
      </c>
      <c r="Z171" s="4">
        <v>0.82299999999999995</v>
      </c>
      <c r="AA171" s="3"/>
      <c r="AB171" s="4">
        <v>0.42299999999999999</v>
      </c>
      <c r="AC171" s="4">
        <v>0.48</v>
      </c>
      <c r="AD171" s="4">
        <v>0.61699999999999999</v>
      </c>
      <c r="AE171" s="4">
        <v>0.90100000000000002</v>
      </c>
      <c r="AF171" s="3"/>
      <c r="AG171" s="3"/>
      <c r="AH171" s="4">
        <v>0.40200000000000002</v>
      </c>
      <c r="AI171" s="4">
        <v>0.60399999999999998</v>
      </c>
      <c r="AJ171" s="4">
        <v>0.34</v>
      </c>
      <c r="AK171" s="4">
        <v>0.70799999999999996</v>
      </c>
      <c r="AL171" s="4">
        <v>0.49399999999999999</v>
      </c>
      <c r="AM171" s="3"/>
      <c r="AN171" s="4">
        <v>0.51</v>
      </c>
      <c r="AO171" s="4">
        <v>0.14899999999999999</v>
      </c>
      <c r="AP171" s="78">
        <v>29.3</v>
      </c>
    </row>
    <row r="172" spans="1:42">
      <c r="A172" s="7" t="s">
        <v>154</v>
      </c>
      <c r="B172" s="2">
        <v>2.2499999999999999E-2</v>
      </c>
      <c r="C172" s="2">
        <v>1.2E-2</v>
      </c>
      <c r="D172" s="2">
        <v>7.3499999999999998E-3</v>
      </c>
      <c r="E172" s="5"/>
      <c r="F172" s="2">
        <v>0.30099999999999999</v>
      </c>
      <c r="G172" s="2">
        <v>7.6100000000000001E-2</v>
      </c>
      <c r="H172" s="2">
        <v>4.5600000000000002E-2</v>
      </c>
      <c r="I172" s="2">
        <v>3.2399999999999998E-2</v>
      </c>
      <c r="J172" s="2">
        <v>1.55E-2</v>
      </c>
      <c r="K172" s="2">
        <v>7.1800000000000003E-2</v>
      </c>
      <c r="L172" s="5"/>
      <c r="M172" s="2">
        <v>0.04</v>
      </c>
      <c r="N172" s="2">
        <v>2.0400000000000001E-2</v>
      </c>
      <c r="O172" s="2">
        <v>1.6899999999999998E-2</v>
      </c>
      <c r="P172" s="2">
        <v>2.9000000000000001E-2</v>
      </c>
      <c r="Q172" s="2">
        <v>0.16400000000000001</v>
      </c>
      <c r="R172" s="2">
        <v>8.9399999999999993E-2</v>
      </c>
      <c r="S172" s="2">
        <v>6.4100000000000004E-2</v>
      </c>
      <c r="T172" s="2">
        <v>0.157</v>
      </c>
      <c r="U172" s="2">
        <v>7.2300000000000003E-2</v>
      </c>
      <c r="V172" s="2">
        <v>6.6699999999999995E-2</v>
      </c>
      <c r="W172" s="2">
        <v>7.9799999999999996E-2</v>
      </c>
      <c r="X172" s="2">
        <v>3.6499999999999998E-2</v>
      </c>
      <c r="Y172" s="2">
        <v>8.7599999999999997E-2</v>
      </c>
      <c r="Z172" s="2">
        <v>7.0000000000000007E-2</v>
      </c>
      <c r="AA172" s="5"/>
      <c r="AB172" s="2">
        <v>7.6899999999999996E-2</v>
      </c>
      <c r="AC172" s="2">
        <v>8.5800000000000001E-2</v>
      </c>
      <c r="AD172" s="2">
        <v>0.13100000000000001</v>
      </c>
      <c r="AE172" s="2">
        <v>0.124</v>
      </c>
      <c r="AF172" s="5"/>
      <c r="AG172" s="5"/>
      <c r="AH172" s="2">
        <v>1.4999999999999999E-2</v>
      </c>
      <c r="AI172" s="2">
        <v>3.1699999999999999E-2</v>
      </c>
      <c r="AJ172" s="2">
        <v>3.3399999999999999E-2</v>
      </c>
      <c r="AK172" s="2">
        <v>0.107</v>
      </c>
      <c r="AL172" s="2">
        <v>0.13100000000000001</v>
      </c>
      <c r="AM172" s="5"/>
      <c r="AN172" s="2">
        <v>6.3500000000000001E-2</v>
      </c>
      <c r="AO172" s="2">
        <v>5.16E-2</v>
      </c>
      <c r="AP172" s="79">
        <v>81.3</v>
      </c>
    </row>
    <row r="173" spans="1:42">
      <c r="A173" s="7" t="s">
        <v>155</v>
      </c>
      <c r="B173" s="4">
        <v>2.2800000000000001E-2</v>
      </c>
      <c r="C173" s="4">
        <v>3.2500000000000001E-2</v>
      </c>
      <c r="D173" s="4">
        <v>1.2699999999999999E-2</v>
      </c>
      <c r="E173" s="3"/>
      <c r="F173" s="4">
        <v>0.88400000000000001</v>
      </c>
      <c r="G173" s="4">
        <v>0.21299999999999999</v>
      </c>
      <c r="H173" s="4">
        <v>5.0200000000000002E-2</v>
      </c>
      <c r="I173" s="4">
        <v>3.39E-2</v>
      </c>
      <c r="J173" s="4">
        <v>6.5500000000000003E-2</v>
      </c>
      <c r="K173" s="4">
        <v>1.9300000000000001E-2</v>
      </c>
      <c r="L173" s="3"/>
      <c r="M173" s="4">
        <v>5.45E-2</v>
      </c>
      <c r="N173" s="4">
        <v>5.0599999999999999E-2</v>
      </c>
      <c r="O173" s="4">
        <v>6.6600000000000006E-2</v>
      </c>
      <c r="P173" s="4">
        <v>4.82E-2</v>
      </c>
      <c r="Q173" s="4">
        <v>6.8000000000000005E-2</v>
      </c>
      <c r="R173" s="4">
        <v>1.5299999999999999E-2</v>
      </c>
      <c r="S173" s="4">
        <v>3.5299999999999998E-2</v>
      </c>
      <c r="T173" s="4">
        <v>0.63500000000000001</v>
      </c>
      <c r="U173" s="4">
        <v>0.14899999999999999</v>
      </c>
      <c r="V173" s="4">
        <v>0.21099999999999999</v>
      </c>
      <c r="W173" s="4">
        <v>0.105</v>
      </c>
      <c r="X173" s="4">
        <v>7.4499999999999997E-2</v>
      </c>
      <c r="Y173" s="4">
        <v>7.6200000000000004E-2</v>
      </c>
      <c r="Z173" s="4">
        <v>8.4599999999999995E-2</v>
      </c>
      <c r="AA173" s="3"/>
      <c r="AB173" s="4">
        <v>6.0499999999999998E-2</v>
      </c>
      <c r="AC173" s="4">
        <v>1.5599999999999999E-2</v>
      </c>
      <c r="AD173" s="4">
        <v>0.02</v>
      </c>
      <c r="AE173" s="4">
        <v>3.2099999999999997E-2</v>
      </c>
      <c r="AF173" s="3"/>
      <c r="AG173" s="3"/>
      <c r="AH173" s="4">
        <v>5.45E-2</v>
      </c>
      <c r="AI173" s="4">
        <v>4.4999999999999998E-2</v>
      </c>
      <c r="AJ173" s="4">
        <v>5.5100000000000003E-2</v>
      </c>
      <c r="AK173" s="4">
        <v>3.9E-2</v>
      </c>
      <c r="AL173" s="4">
        <v>2.5899999999999999E-2</v>
      </c>
      <c r="AM173" s="3"/>
      <c r="AN173" s="4">
        <v>4.3900000000000002E-2</v>
      </c>
      <c r="AO173" s="4">
        <v>1.21E-2</v>
      </c>
      <c r="AP173" s="78">
        <v>27.6</v>
      </c>
    </row>
    <row r="174" spans="1:42">
      <c r="A174" s="7" t="s">
        <v>156</v>
      </c>
      <c r="B174" s="2">
        <v>0.13800000000000001</v>
      </c>
      <c r="C174" s="2">
        <v>7.3999999999999996E-2</v>
      </c>
      <c r="D174" s="2">
        <v>4.9000000000000002E-2</v>
      </c>
      <c r="E174" s="2">
        <v>8.7999999999999995E-2</v>
      </c>
      <c r="F174" s="2">
        <v>2.95</v>
      </c>
      <c r="G174" s="2">
        <v>0.85299999999999998</v>
      </c>
      <c r="H174" s="2">
        <v>0.193</v>
      </c>
      <c r="I174" s="2">
        <v>0.13500000000000001</v>
      </c>
      <c r="J174" s="2">
        <v>0.24</v>
      </c>
      <c r="K174" s="2">
        <v>0.113</v>
      </c>
      <c r="L174" s="2">
        <v>0.182</v>
      </c>
      <c r="M174" s="2">
        <v>0.16400000000000001</v>
      </c>
      <c r="N174" s="2">
        <v>0.17899999999999999</v>
      </c>
      <c r="O174" s="2">
        <v>0.248</v>
      </c>
      <c r="P174" s="2">
        <v>0.16</v>
      </c>
      <c r="Q174" s="2">
        <v>0.315</v>
      </c>
      <c r="R174" s="2">
        <v>0.112</v>
      </c>
      <c r="S174" s="2">
        <v>0.245</v>
      </c>
      <c r="T174" s="2">
        <v>0.80800000000000005</v>
      </c>
      <c r="U174" s="2">
        <v>0.28899999999999998</v>
      </c>
      <c r="V174" s="2">
        <v>0.29499999999999998</v>
      </c>
      <c r="W174" s="2">
        <v>0.216</v>
      </c>
      <c r="X174" s="2">
        <v>0.112</v>
      </c>
      <c r="Y174" s="2">
        <v>0.246</v>
      </c>
      <c r="Z174" s="2">
        <v>0.22900000000000001</v>
      </c>
      <c r="AA174" s="5"/>
      <c r="AB174" s="2">
        <v>0.28100000000000003</v>
      </c>
      <c r="AC174" s="2">
        <v>0.127</v>
      </c>
      <c r="AD174" s="2">
        <v>0.17399999999999999</v>
      </c>
      <c r="AE174" s="2">
        <v>6.6400000000000001E-2</v>
      </c>
      <c r="AF174" s="5"/>
      <c r="AG174" s="5"/>
      <c r="AH174" s="2">
        <v>0.129</v>
      </c>
      <c r="AI174" s="2">
        <v>0.185</v>
      </c>
      <c r="AJ174" s="2">
        <v>0.18</v>
      </c>
      <c r="AK174" s="2">
        <v>0.246</v>
      </c>
      <c r="AL174" s="2">
        <v>0.16500000000000001</v>
      </c>
      <c r="AM174" s="5"/>
      <c r="AN174" s="2">
        <v>0.18099999999999999</v>
      </c>
      <c r="AO174" s="2">
        <v>4.2299999999999997E-2</v>
      </c>
      <c r="AP174" s="79">
        <v>23.3</v>
      </c>
    </row>
    <row r="175" spans="1:42">
      <c r="A175" s="7" t="s">
        <v>157</v>
      </c>
      <c r="B175" s="4">
        <v>5.0500000000000003E-2</v>
      </c>
      <c r="C175" s="4">
        <v>2.6599999999999999E-2</v>
      </c>
      <c r="D175" s="4">
        <v>1.8599999999999998E-2</v>
      </c>
      <c r="E175" s="4">
        <v>0.192</v>
      </c>
      <c r="F175" s="4">
        <v>2.57</v>
      </c>
      <c r="G175" s="4">
        <v>0.35399999999999998</v>
      </c>
      <c r="H175" s="4">
        <v>8.1199999999999994E-2</v>
      </c>
      <c r="I175" s="4">
        <v>5.0500000000000003E-2</v>
      </c>
      <c r="J175" s="4">
        <v>0.107</v>
      </c>
      <c r="K175" s="3"/>
      <c r="L175" s="4">
        <v>7.2400000000000006E-2</v>
      </c>
      <c r="M175" s="4">
        <v>8.2199999999999995E-2</v>
      </c>
      <c r="N175" s="4">
        <v>6.5000000000000002E-2</v>
      </c>
      <c r="O175" s="4">
        <v>8.9499999999999996E-2</v>
      </c>
      <c r="P175" s="4">
        <v>7.4300000000000005E-2</v>
      </c>
      <c r="Q175" s="3"/>
      <c r="R175" s="4">
        <v>4.65E-2</v>
      </c>
      <c r="S175" s="4">
        <v>5.2400000000000002E-2</v>
      </c>
      <c r="T175" s="4">
        <v>0.747</v>
      </c>
      <c r="U175" s="4">
        <v>4.3499999999999997E-2</v>
      </c>
      <c r="V175" s="4">
        <v>0.27</v>
      </c>
      <c r="W175" s="4">
        <v>0.09</v>
      </c>
      <c r="X175" s="4">
        <v>4.9299999999999997E-2</v>
      </c>
      <c r="Y175" s="4">
        <v>0.152</v>
      </c>
      <c r="Z175" s="4">
        <v>0.17299999999999999</v>
      </c>
      <c r="AA175" s="3"/>
      <c r="AB175" s="4">
        <v>0.186</v>
      </c>
      <c r="AC175" s="4">
        <v>5.3999999999999999E-2</v>
      </c>
      <c r="AD175" s="4">
        <v>9.3399999999999997E-2</v>
      </c>
      <c r="AE175" s="4">
        <v>0.10199999999999999</v>
      </c>
      <c r="AF175" s="3"/>
      <c r="AG175" s="3"/>
      <c r="AH175" s="4">
        <v>5.3600000000000002E-2</v>
      </c>
      <c r="AI175" s="4">
        <v>7.17E-2</v>
      </c>
      <c r="AJ175" s="4">
        <v>6.1199999999999997E-2</v>
      </c>
      <c r="AK175" s="4">
        <v>8.5800000000000001E-2</v>
      </c>
      <c r="AL175" s="4">
        <v>7.8700000000000006E-2</v>
      </c>
      <c r="AM175" s="3"/>
      <c r="AN175" s="4">
        <v>7.0199999999999999E-2</v>
      </c>
      <c r="AO175" s="4">
        <v>1.2999999999999999E-2</v>
      </c>
      <c r="AP175" s="78">
        <v>18.5</v>
      </c>
    </row>
    <row r="176" spans="1:42">
      <c r="A176" s="7" t="s">
        <v>158</v>
      </c>
      <c r="B176" s="2">
        <v>5.45E-3</v>
      </c>
      <c r="C176" s="5"/>
      <c r="D176" s="2">
        <v>2.6200000000000001E-2</v>
      </c>
      <c r="E176" s="5"/>
      <c r="F176" s="5"/>
      <c r="G176" s="5"/>
      <c r="H176" s="2">
        <v>1.8200000000000001E-2</v>
      </c>
      <c r="I176" s="2">
        <v>7.7600000000000004E-3</v>
      </c>
      <c r="J176" s="5"/>
      <c r="K176" s="5"/>
      <c r="L176" s="5"/>
      <c r="M176" s="2">
        <v>3.3600000000000001E-3</v>
      </c>
      <c r="N176" s="5"/>
      <c r="O176" s="5"/>
      <c r="P176" s="2">
        <v>6.7499999999999999E-3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2">
        <v>8.3199999999999993E-3</v>
      </c>
      <c r="AJ176" s="5"/>
      <c r="AK176" s="5"/>
      <c r="AL176" s="5"/>
      <c r="AM176" s="5"/>
      <c r="AN176" s="2">
        <v>8.3199999999999993E-3</v>
      </c>
      <c r="AO176" s="5"/>
      <c r="AP176" s="79">
        <v>0</v>
      </c>
    </row>
    <row r="177" spans="1:42">
      <c r="A177" s="7" t="s">
        <v>159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4">
        <v>3.4700000000000002E-2</v>
      </c>
      <c r="AI177" s="3"/>
      <c r="AJ177" s="3"/>
      <c r="AK177" s="3"/>
      <c r="AL177" s="3"/>
      <c r="AM177" s="3"/>
      <c r="AN177" s="4">
        <v>3.4700000000000002E-2</v>
      </c>
      <c r="AO177" s="3"/>
      <c r="AP177" s="78">
        <v>0</v>
      </c>
    </row>
    <row r="178" spans="1:42">
      <c r="A178" s="7" t="s">
        <v>160</v>
      </c>
      <c r="B178" s="5"/>
      <c r="C178" s="2">
        <v>7.7799999999999996E-3</v>
      </c>
      <c r="D178" s="5"/>
      <c r="E178" s="5"/>
      <c r="F178" s="5"/>
      <c r="G178" s="5"/>
      <c r="H178" s="5"/>
      <c r="I178" s="2">
        <v>1.3100000000000001E-2</v>
      </c>
      <c r="J178" s="5"/>
      <c r="K178" s="5"/>
      <c r="L178" s="5"/>
      <c r="M178" s="2">
        <v>2.0200000000000001E-3</v>
      </c>
      <c r="N178" s="5"/>
      <c r="O178" s="5"/>
      <c r="P178" s="5"/>
      <c r="Q178" s="5"/>
      <c r="R178" s="2">
        <v>4.6199999999999998E-2</v>
      </c>
      <c r="S178" s="2">
        <v>0.66800000000000004</v>
      </c>
      <c r="T178" s="2">
        <v>1.5900000000000001E-2</v>
      </c>
      <c r="U178" s="2">
        <v>1.67E-2</v>
      </c>
      <c r="V178" s="5"/>
      <c r="W178" s="5"/>
      <c r="X178" s="5"/>
      <c r="Y178" s="5"/>
      <c r="Z178" s="5"/>
      <c r="AA178" s="5"/>
      <c r="AB178" s="2">
        <v>8.9800000000000001E-3</v>
      </c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2">
        <v>0</v>
      </c>
      <c r="AP178" s="77"/>
    </row>
    <row r="179" spans="1:42">
      <c r="A179" s="7" t="s">
        <v>161</v>
      </c>
      <c r="B179" s="4">
        <v>0.13600000000000001</v>
      </c>
      <c r="C179" s="4">
        <v>8.8499999999999995E-2</v>
      </c>
      <c r="D179" s="4">
        <v>6.7799999999999999E-2</v>
      </c>
      <c r="E179" s="4">
        <v>0.21</v>
      </c>
      <c r="F179" s="4">
        <v>2.69</v>
      </c>
      <c r="G179" s="4">
        <v>0.86899999999999999</v>
      </c>
      <c r="H179" s="4">
        <v>0.18</v>
      </c>
      <c r="I179" s="4">
        <v>0.14599999999999999</v>
      </c>
      <c r="J179" s="4">
        <v>0.27200000000000002</v>
      </c>
      <c r="K179" s="4">
        <v>0.12</v>
      </c>
      <c r="L179" s="3"/>
      <c r="M179" s="4">
        <v>0.187</v>
      </c>
      <c r="N179" s="4">
        <v>0.10299999999999999</v>
      </c>
      <c r="O179" s="4">
        <v>0.16400000000000001</v>
      </c>
      <c r="P179" s="4">
        <v>0.17899999999999999</v>
      </c>
      <c r="Q179" s="4">
        <v>0.14599999999999999</v>
      </c>
      <c r="R179" s="4">
        <v>6.13E-2</v>
      </c>
      <c r="S179" s="4">
        <v>0.126</v>
      </c>
      <c r="T179" s="4">
        <v>0.33400000000000002</v>
      </c>
      <c r="U179" s="4">
        <v>0.34599999999999997</v>
      </c>
      <c r="V179" s="4">
        <v>0.26500000000000001</v>
      </c>
      <c r="W179" s="4">
        <v>0.14199999999999999</v>
      </c>
      <c r="X179" s="4">
        <v>0.122</v>
      </c>
      <c r="Y179" s="4">
        <v>0.34300000000000003</v>
      </c>
      <c r="Z179" s="4">
        <v>1.67</v>
      </c>
      <c r="AA179" s="3"/>
      <c r="AB179" s="4">
        <v>0.182</v>
      </c>
      <c r="AC179" s="4">
        <v>0.154</v>
      </c>
      <c r="AD179" s="4">
        <v>0.125</v>
      </c>
      <c r="AE179" s="4">
        <v>0.19800000000000001</v>
      </c>
      <c r="AF179" s="3"/>
      <c r="AG179" s="3"/>
      <c r="AH179" s="4">
        <v>0.216</v>
      </c>
      <c r="AI179" s="4">
        <v>0.17799999999999999</v>
      </c>
      <c r="AJ179" s="4">
        <v>0.33400000000000002</v>
      </c>
      <c r="AK179" s="4">
        <v>0.18</v>
      </c>
      <c r="AL179" s="4">
        <v>0.2</v>
      </c>
      <c r="AM179" s="3"/>
      <c r="AN179" s="4">
        <v>0.222</v>
      </c>
      <c r="AO179" s="4">
        <v>6.4600000000000005E-2</v>
      </c>
      <c r="AP179" s="78">
        <v>29.1</v>
      </c>
    </row>
    <row r="180" spans="1:42">
      <c r="A180" s="7" t="s">
        <v>162</v>
      </c>
      <c r="B180" s="2">
        <v>3.78E-2</v>
      </c>
      <c r="C180" s="2">
        <v>4.48E-2</v>
      </c>
      <c r="D180" s="2">
        <v>1.2999999999999999E-2</v>
      </c>
      <c r="E180" s="5"/>
      <c r="F180" s="5"/>
      <c r="G180" s="5"/>
      <c r="H180" s="2">
        <v>6.3600000000000004E-2</v>
      </c>
      <c r="I180" s="2">
        <v>5.1200000000000002E-2</v>
      </c>
      <c r="J180" s="2">
        <v>7.9600000000000004E-2</v>
      </c>
      <c r="K180" s="5"/>
      <c r="L180" s="5"/>
      <c r="M180" s="2">
        <v>4.4699999999999997E-2</v>
      </c>
      <c r="N180" s="2">
        <v>3.0300000000000001E-2</v>
      </c>
      <c r="O180" s="2">
        <v>2.46E-2</v>
      </c>
      <c r="P180" s="2">
        <v>4.4499999999999998E-2</v>
      </c>
      <c r="Q180" s="5"/>
      <c r="R180" s="5"/>
      <c r="S180" s="2">
        <v>4.7E-2</v>
      </c>
      <c r="T180" s="2">
        <v>4.4299999999999999E-2</v>
      </c>
      <c r="U180" s="2">
        <v>3.5499999999999997E-2</v>
      </c>
      <c r="V180" s="2">
        <v>3.9600000000000003E-2</v>
      </c>
      <c r="W180" s="5"/>
      <c r="X180" s="2">
        <v>0.04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2">
        <v>3.6799999999999999E-2</v>
      </c>
      <c r="AJ180" s="5"/>
      <c r="AK180" s="5"/>
      <c r="AL180" s="5"/>
      <c r="AM180" s="5"/>
      <c r="AN180" s="2">
        <v>3.6799999999999999E-2</v>
      </c>
      <c r="AO180" s="5"/>
      <c r="AP180" s="79">
        <v>0</v>
      </c>
    </row>
    <row r="181" spans="1:42">
      <c r="A181" s="7" t="s">
        <v>535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4">
        <v>0</v>
      </c>
      <c r="AP181" s="68"/>
    </row>
    <row r="182" spans="1:42">
      <c r="A182" s="7" t="s">
        <v>536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2">
        <v>0</v>
      </c>
      <c r="AP182" s="77"/>
    </row>
    <row r="183" spans="1:42">
      <c r="A183" s="7" t="s">
        <v>537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4">
        <v>0</v>
      </c>
      <c r="AP183" s="68"/>
    </row>
    <row r="184" spans="1:42">
      <c r="A184" s="7" t="s">
        <v>538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2">
        <v>0</v>
      </c>
      <c r="AP184" s="77"/>
    </row>
    <row r="185" spans="1:42">
      <c r="A185" s="7" t="s">
        <v>163</v>
      </c>
      <c r="B185" s="4">
        <v>3.8300000000000001E-3</v>
      </c>
      <c r="C185" s="4">
        <v>1.7299999999999999E-2</v>
      </c>
      <c r="D185" s="4">
        <v>1.0699999999999999E-2</v>
      </c>
      <c r="E185" s="3"/>
      <c r="F185" s="3"/>
      <c r="G185" s="3"/>
      <c r="H185" s="4">
        <v>7.7099999999999998E-3</v>
      </c>
      <c r="I185" s="4">
        <v>1.38E-2</v>
      </c>
      <c r="J185" s="4">
        <v>7.8100000000000001E-3</v>
      </c>
      <c r="K185" s="3"/>
      <c r="L185" s="3"/>
      <c r="M185" s="4">
        <v>5.0899999999999999E-3</v>
      </c>
      <c r="N185" s="4">
        <v>2.7399999999999998E-3</v>
      </c>
      <c r="O185" s="4">
        <v>3.8E-3</v>
      </c>
      <c r="P185" s="4">
        <v>4.3499999999999997E-3</v>
      </c>
      <c r="Q185" s="3"/>
      <c r="R185" s="3"/>
      <c r="S185" s="4">
        <v>6.7400000000000003E-3</v>
      </c>
      <c r="T185" s="4">
        <v>7.9900000000000006E-3</v>
      </c>
      <c r="U185" s="4">
        <v>8.3800000000000003E-3</v>
      </c>
      <c r="V185" s="4">
        <v>1.12E-2</v>
      </c>
      <c r="W185" s="4">
        <v>5.1999999999999998E-3</v>
      </c>
      <c r="X185" s="4">
        <v>4.5599999999999998E-3</v>
      </c>
      <c r="Y185" s="4">
        <v>5.9699999999999996E-3</v>
      </c>
      <c r="Z185" s="4">
        <v>7.2899999999999996E-3</v>
      </c>
      <c r="AA185" s="3"/>
      <c r="AB185" s="4">
        <v>4.5799999999999999E-3</v>
      </c>
      <c r="AC185" s="4">
        <v>5.2599999999999999E-3</v>
      </c>
      <c r="AD185" s="4">
        <v>6.1999999999999998E-3</v>
      </c>
      <c r="AE185" s="3"/>
      <c r="AF185" s="3"/>
      <c r="AG185" s="3"/>
      <c r="AH185" s="3"/>
      <c r="AI185" s="4">
        <v>6.28E-3</v>
      </c>
      <c r="AJ185" s="3"/>
      <c r="AK185" s="3"/>
      <c r="AL185" s="3"/>
      <c r="AM185" s="3"/>
      <c r="AN185" s="4">
        <v>6.28E-3</v>
      </c>
      <c r="AO185" s="3"/>
      <c r="AP185" s="78">
        <v>0</v>
      </c>
    </row>
    <row r="186" spans="1:42">
      <c r="A186" s="7" t="s">
        <v>539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2">
        <v>0</v>
      </c>
      <c r="AP186" s="77"/>
    </row>
    <row r="187" spans="1:42">
      <c r="A187" s="7" t="s">
        <v>540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4">
        <v>0</v>
      </c>
      <c r="AP187" s="68"/>
    </row>
    <row r="188" spans="1:42">
      <c r="A188" s="7" t="s">
        <v>541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2">
        <v>0</v>
      </c>
      <c r="AP188" s="77"/>
    </row>
    <row r="189" spans="1:42">
      <c r="A189" s="7" t="s">
        <v>164</v>
      </c>
      <c r="B189" s="4">
        <v>3.0700000000000002E-2</v>
      </c>
      <c r="C189" s="4">
        <v>1.3299999999999999E-2</v>
      </c>
      <c r="D189" s="3"/>
      <c r="E189" s="3"/>
      <c r="F189" s="3"/>
      <c r="G189" s="4">
        <v>1.47E-2</v>
      </c>
      <c r="H189" s="4">
        <v>3.0700000000000002E-2</v>
      </c>
      <c r="I189" s="4">
        <v>2.0299999999999999E-2</v>
      </c>
      <c r="J189" s="4">
        <v>2.7900000000000001E-2</v>
      </c>
      <c r="K189" s="3"/>
      <c r="L189" s="3"/>
      <c r="M189" s="4">
        <v>2.8199999999999999E-2</v>
      </c>
      <c r="N189" s="4">
        <v>6.5900000000000004E-3</v>
      </c>
      <c r="O189" s="4">
        <v>6.5500000000000003E-2</v>
      </c>
      <c r="P189" s="4">
        <v>5.0999999999999997E-2</v>
      </c>
      <c r="Q189" s="3"/>
      <c r="R189" s="3"/>
      <c r="S189" s="4">
        <v>3.4200000000000001E-2</v>
      </c>
      <c r="T189" s="4">
        <v>0.46899999999999997</v>
      </c>
      <c r="U189" s="4">
        <v>5.62E-2</v>
      </c>
      <c r="V189" s="4">
        <v>1.4200000000000001E-2</v>
      </c>
      <c r="W189" s="4">
        <v>1.26E-2</v>
      </c>
      <c r="X189" s="3"/>
      <c r="Y189" s="4">
        <v>4.3999999999999997E-2</v>
      </c>
      <c r="Z189" s="4">
        <v>4.9299999999999997E-2</v>
      </c>
      <c r="AA189" s="3"/>
      <c r="AB189" s="4">
        <v>0.14599999999999999</v>
      </c>
      <c r="AC189" s="3"/>
      <c r="AD189" s="3"/>
      <c r="AE189" s="3"/>
      <c r="AF189" s="3"/>
      <c r="AG189" s="3"/>
      <c r="AH189" s="3"/>
      <c r="AI189" s="4">
        <v>3.1199999999999999E-2</v>
      </c>
      <c r="AJ189" s="3"/>
      <c r="AK189" s="3"/>
      <c r="AL189" s="4">
        <v>2.07E-2</v>
      </c>
      <c r="AM189" s="3"/>
      <c r="AN189" s="4">
        <v>2.5899999999999999E-2</v>
      </c>
      <c r="AO189" s="4">
        <v>7.4400000000000004E-3</v>
      </c>
      <c r="AP189" s="78">
        <v>28.7</v>
      </c>
    </row>
    <row r="190" spans="1:42">
      <c r="A190" s="7" t="s">
        <v>165</v>
      </c>
      <c r="B190" s="5"/>
      <c r="C190" s="2">
        <v>5.3200000000000001E-3</v>
      </c>
      <c r="D190" s="5"/>
      <c r="E190" s="5"/>
      <c r="F190" s="5"/>
      <c r="G190" s="5"/>
      <c r="H190" s="5"/>
      <c r="I190" s="2">
        <v>2.32E-3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2">
        <v>0</v>
      </c>
      <c r="AP190" s="77"/>
    </row>
    <row r="191" spans="1:42">
      <c r="A191" s="7" t="s">
        <v>542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4">
        <v>0</v>
      </c>
      <c r="AP191" s="68"/>
    </row>
    <row r="192" spans="1:42">
      <c r="A192" s="7" t="s">
        <v>543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2">
        <v>0</v>
      </c>
      <c r="AP192" s="77"/>
    </row>
    <row r="193" spans="1:42">
      <c r="A193" s="7" t="s">
        <v>544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4">
        <v>0</v>
      </c>
      <c r="AP193" s="68"/>
    </row>
    <row r="194" spans="1:42">
      <c r="A194" s="7" t="s">
        <v>545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2">
        <v>0</v>
      </c>
      <c r="AP194" s="77"/>
    </row>
    <row r="195" spans="1:42">
      <c r="A195" s="7" t="s">
        <v>546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4">
        <v>0</v>
      </c>
      <c r="AP195" s="68"/>
    </row>
    <row r="196" spans="1:42">
      <c r="A196" s="7" t="s">
        <v>547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2">
        <v>0</v>
      </c>
      <c r="AP196" s="77"/>
    </row>
    <row r="197" spans="1:42">
      <c r="A197" s="7" t="s">
        <v>548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4">
        <v>0</v>
      </c>
      <c r="AP197" s="68"/>
    </row>
    <row r="198" spans="1:42">
      <c r="A198" s="7" t="s">
        <v>549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2">
        <v>0</v>
      </c>
      <c r="AP198" s="77"/>
    </row>
    <row r="199" spans="1:42">
      <c r="A199" s="7" t="s">
        <v>550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4">
        <v>0</v>
      </c>
      <c r="AP199" s="68"/>
    </row>
    <row r="200" spans="1:42">
      <c r="A200" s="7" t="s">
        <v>551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2">
        <v>0</v>
      </c>
      <c r="AP200" s="77"/>
    </row>
    <row r="201" spans="1:42">
      <c r="A201" s="7" t="s">
        <v>552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4">
        <v>0</v>
      </c>
      <c r="AP201" s="68"/>
    </row>
    <row r="202" spans="1:42">
      <c r="A202" s="7" t="s">
        <v>553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2">
        <v>0</v>
      </c>
      <c r="AP202" s="77"/>
    </row>
    <row r="203" spans="1:42">
      <c r="A203" s="7" t="s">
        <v>554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4">
        <v>0</v>
      </c>
      <c r="AP203" s="68"/>
    </row>
    <row r="204" spans="1:42">
      <c r="A204" s="7" t="s">
        <v>555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2">
        <v>0</v>
      </c>
      <c r="AP204" s="77"/>
    </row>
    <row r="205" spans="1:42">
      <c r="A205" s="7" t="s">
        <v>556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4">
        <v>0</v>
      </c>
      <c r="AP205" s="68"/>
    </row>
    <row r="206" spans="1:42">
      <c r="A206" s="7" t="s">
        <v>557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2">
        <v>0</v>
      </c>
      <c r="AP206" s="77"/>
    </row>
    <row r="207" spans="1:42">
      <c r="A207" s="7" t="s">
        <v>558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4">
        <v>0</v>
      </c>
      <c r="AP207" s="68"/>
    </row>
    <row r="208" spans="1:42">
      <c r="A208" s="7" t="s">
        <v>559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2">
        <v>0</v>
      </c>
      <c r="AP208" s="77"/>
    </row>
    <row r="209" spans="1:42">
      <c r="A209" s="8" t="s">
        <v>560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4">
        <v>0</v>
      </c>
      <c r="AP209" s="68"/>
    </row>
    <row r="210" spans="1:42">
      <c r="A210" s="8" t="s">
        <v>561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2">
        <v>0</v>
      </c>
      <c r="AP210" s="77"/>
    </row>
    <row r="211" spans="1:42">
      <c r="A211" s="8" t="s">
        <v>166</v>
      </c>
      <c r="B211" s="4">
        <v>2.1000000000000001E-2</v>
      </c>
      <c r="C211" s="3"/>
      <c r="D211" s="3"/>
      <c r="E211" s="4">
        <v>1.3899999999999999E-2</v>
      </c>
      <c r="F211" s="4">
        <v>0.106</v>
      </c>
      <c r="G211" s="3"/>
      <c r="H211" s="3"/>
      <c r="I211" s="3"/>
      <c r="J211" s="4">
        <v>1.6500000000000001E-2</v>
      </c>
      <c r="K211" s="4">
        <v>9.8199999999999996E-2</v>
      </c>
      <c r="L211" s="3"/>
      <c r="M211" s="4">
        <v>1.09E-2</v>
      </c>
      <c r="N211" s="4">
        <v>1.7899999999999999E-2</v>
      </c>
      <c r="O211" s="4">
        <v>2.8000000000000001E-2</v>
      </c>
      <c r="P211" s="4">
        <v>2.9100000000000001E-2</v>
      </c>
      <c r="Q211" s="4">
        <v>4.3799999999999999E-2</v>
      </c>
      <c r="R211" s="3"/>
      <c r="S211" s="4">
        <v>9.3900000000000008E-3</v>
      </c>
      <c r="T211" s="3"/>
      <c r="U211" s="3"/>
      <c r="V211" s="3"/>
      <c r="W211" s="4">
        <v>1.2200000000000001E-2</v>
      </c>
      <c r="X211" s="4">
        <v>1.2E-2</v>
      </c>
      <c r="Y211" s="4">
        <v>1.7600000000000001E-2</v>
      </c>
      <c r="Z211" s="4">
        <v>2.3199999999999998E-2</v>
      </c>
      <c r="AA211" s="3"/>
      <c r="AB211" s="4">
        <v>1.9300000000000001E-2</v>
      </c>
      <c r="AC211" s="4">
        <v>1.7600000000000001E-2</v>
      </c>
      <c r="AD211" s="4">
        <v>1.6899999999999998E-2</v>
      </c>
      <c r="AE211" s="4">
        <v>1.8100000000000002E-2</v>
      </c>
      <c r="AF211" s="3"/>
      <c r="AG211" s="3"/>
      <c r="AH211" s="4">
        <v>7.9399999999999991E-3</v>
      </c>
      <c r="AI211" s="4">
        <v>3.3799999999999997E-2</v>
      </c>
      <c r="AJ211" s="4">
        <v>5.94E-3</v>
      </c>
      <c r="AK211" s="4">
        <v>1.4E-2</v>
      </c>
      <c r="AL211" s="4">
        <v>2.1399999999999999E-2</v>
      </c>
      <c r="AM211" s="3"/>
      <c r="AN211" s="4">
        <v>1.66E-2</v>
      </c>
      <c r="AO211" s="4">
        <v>1.1299999999999999E-2</v>
      </c>
      <c r="AP211" s="78">
        <v>68.2</v>
      </c>
    </row>
    <row r="212" spans="1:42">
      <c r="A212" s="8" t="s">
        <v>562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2">
        <v>0</v>
      </c>
      <c r="AP212" s="77"/>
    </row>
    <row r="213" spans="1:42">
      <c r="A213" s="8" t="s">
        <v>167</v>
      </c>
      <c r="B213" s="4">
        <v>9.3399999999999997E-2</v>
      </c>
      <c r="C213" s="4">
        <v>0.13700000000000001</v>
      </c>
      <c r="D213" s="4">
        <v>0.158</v>
      </c>
      <c r="E213" s="4">
        <v>0.497</v>
      </c>
      <c r="F213" s="4">
        <v>0.76200000000000001</v>
      </c>
      <c r="G213" s="4">
        <v>0.16500000000000001</v>
      </c>
      <c r="H213" s="4">
        <v>0.20799999999999999</v>
      </c>
      <c r="I213" s="4">
        <v>0.13200000000000001</v>
      </c>
      <c r="J213" s="4">
        <v>0.25</v>
      </c>
      <c r="K213" s="4">
        <v>0.25900000000000001</v>
      </c>
      <c r="L213" s="4">
        <v>0.36699999999999999</v>
      </c>
      <c r="M213" s="4">
        <v>0.14499999999999999</v>
      </c>
      <c r="N213" s="4">
        <v>0.12</v>
      </c>
      <c r="O213" s="4">
        <v>0.223</v>
      </c>
      <c r="P213" s="4">
        <v>0.21199999999999999</v>
      </c>
      <c r="Q213" s="4">
        <v>0.56200000000000006</v>
      </c>
      <c r="R213" s="4">
        <v>0.34499999999999997</v>
      </c>
      <c r="S213" s="4">
        <v>0.115</v>
      </c>
      <c r="T213" s="4">
        <v>0.104</v>
      </c>
      <c r="U213" s="4">
        <v>8.9499999999999996E-2</v>
      </c>
      <c r="V213" s="4">
        <v>0.152</v>
      </c>
      <c r="W213" s="4">
        <v>0.254</v>
      </c>
      <c r="X213" s="4">
        <v>0.2</v>
      </c>
      <c r="Y213" s="4">
        <v>0.26800000000000002</v>
      </c>
      <c r="Z213" s="4">
        <v>0.15</v>
      </c>
      <c r="AA213" s="3"/>
      <c r="AB213" s="4">
        <v>0.17299999999999999</v>
      </c>
      <c r="AC213" s="4">
        <v>0.50600000000000001</v>
      </c>
      <c r="AD213" s="4">
        <v>0.20300000000000001</v>
      </c>
      <c r="AE213" s="4">
        <v>1.24</v>
      </c>
      <c r="AF213" s="3"/>
      <c r="AG213" s="3"/>
      <c r="AH213" s="4">
        <v>0.16800000000000001</v>
      </c>
      <c r="AI213" s="4">
        <v>0.157</v>
      </c>
      <c r="AJ213" s="4">
        <v>0.318</v>
      </c>
      <c r="AK213" s="4">
        <v>0.59699999999999998</v>
      </c>
      <c r="AL213" s="4">
        <v>0.20799999999999999</v>
      </c>
      <c r="AM213" s="3"/>
      <c r="AN213" s="4">
        <v>0.28999999999999998</v>
      </c>
      <c r="AO213" s="4">
        <v>0.183</v>
      </c>
      <c r="AP213" s="78">
        <v>63.2</v>
      </c>
    </row>
    <row r="214" spans="1:42">
      <c r="A214" s="8" t="s">
        <v>563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2">
        <v>0</v>
      </c>
      <c r="AP214" s="77"/>
    </row>
    <row r="215" spans="1:42">
      <c r="A215" s="8" t="s">
        <v>168</v>
      </c>
      <c r="B215" s="4">
        <v>3.15E-2</v>
      </c>
      <c r="C215" s="3"/>
      <c r="D215" s="3"/>
      <c r="E215" s="3"/>
      <c r="F215" s="3"/>
      <c r="G215" s="3"/>
      <c r="H215" s="3"/>
      <c r="I215" s="3"/>
      <c r="J215" s="3"/>
      <c r="K215" s="3"/>
      <c r="L215" s="4">
        <v>8.2400000000000008E-3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4">
        <v>5.7099999999999998E-3</v>
      </c>
      <c r="X215" s="3"/>
      <c r="Y215" s="4">
        <v>1.5100000000000001E-2</v>
      </c>
      <c r="Z215" s="4">
        <v>4.7000000000000002E-3</v>
      </c>
      <c r="AA215" s="3"/>
      <c r="AB215" s="3"/>
      <c r="AC215" s="4">
        <v>7.2199999999999999E-3</v>
      </c>
      <c r="AD215" s="4">
        <v>6.2899999999999996E-3</v>
      </c>
      <c r="AE215" s="4">
        <v>6.1600000000000002E-2</v>
      </c>
      <c r="AF215" s="3"/>
      <c r="AG215" s="3"/>
      <c r="AH215" s="3"/>
      <c r="AI215" s="3"/>
      <c r="AJ215" s="4">
        <v>1.46E-2</v>
      </c>
      <c r="AK215" s="3"/>
      <c r="AL215" s="3"/>
      <c r="AM215" s="3"/>
      <c r="AN215" s="4">
        <v>1.46E-2</v>
      </c>
      <c r="AO215" s="3"/>
      <c r="AP215" s="78">
        <v>0</v>
      </c>
    </row>
    <row r="216" spans="1:42">
      <c r="A216" s="8" t="s">
        <v>169</v>
      </c>
      <c r="B216" s="5"/>
      <c r="C216" s="2">
        <v>7.9500000000000005E-3</v>
      </c>
      <c r="D216" s="5"/>
      <c r="E216" s="5"/>
      <c r="F216" s="5"/>
      <c r="G216" s="5"/>
      <c r="H216" s="5"/>
      <c r="I216" s="5"/>
      <c r="J216" s="5"/>
      <c r="K216" s="5"/>
      <c r="L216" s="2">
        <v>5.9800000000000001E-3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2">
        <v>3.3600000000000001E-3</v>
      </c>
      <c r="AC216" s="2">
        <v>1.5900000000000001E-3</v>
      </c>
      <c r="AD216" s="5"/>
      <c r="AE216" s="5"/>
      <c r="AF216" s="5"/>
      <c r="AG216" s="5"/>
      <c r="AH216" s="5"/>
      <c r="AI216" s="5"/>
      <c r="AJ216" s="2">
        <v>4.9199999999999999E-3</v>
      </c>
      <c r="AK216" s="5"/>
      <c r="AL216" s="5"/>
      <c r="AM216" s="5"/>
      <c r="AN216" s="2">
        <v>4.9199999999999999E-3</v>
      </c>
      <c r="AO216" s="5"/>
      <c r="AP216" s="79">
        <v>0</v>
      </c>
    </row>
    <row r="217" spans="1:42">
      <c r="A217" s="8" t="s">
        <v>564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4">
        <v>0</v>
      </c>
      <c r="AP217" s="68"/>
    </row>
    <row r="218" spans="1:42">
      <c r="A218" s="8" t="s">
        <v>565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2">
        <v>0</v>
      </c>
      <c r="AP218" s="77"/>
    </row>
    <row r="219" spans="1:42">
      <c r="A219" s="8" t="s">
        <v>566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4">
        <v>0</v>
      </c>
      <c r="AP219" s="68"/>
    </row>
    <row r="220" spans="1:42">
      <c r="A220" s="8" t="s">
        <v>170</v>
      </c>
      <c r="B220" s="2">
        <v>2.1299999999999999E-3</v>
      </c>
      <c r="C220" s="5"/>
      <c r="D220" s="5"/>
      <c r="E220" s="2">
        <v>7.9000000000000008E-3</v>
      </c>
      <c r="F220" s="2">
        <v>2.49E-3</v>
      </c>
      <c r="G220" s="2">
        <v>6.1199999999999996E-3</v>
      </c>
      <c r="H220" s="5"/>
      <c r="I220" s="5"/>
      <c r="J220" s="5"/>
      <c r="K220" s="2">
        <v>1.92E-3</v>
      </c>
      <c r="L220" s="5"/>
      <c r="M220" s="2">
        <v>3.7799999999999999E-3</v>
      </c>
      <c r="N220" s="2">
        <v>4.9500000000000004E-3</v>
      </c>
      <c r="O220" s="2">
        <v>4.2399999999999998E-3</v>
      </c>
      <c r="P220" s="2">
        <v>2.9199999999999999E-3</v>
      </c>
      <c r="Q220" s="2">
        <v>3.7499999999999999E-3</v>
      </c>
      <c r="R220" s="2">
        <v>4.4600000000000004E-3</v>
      </c>
      <c r="S220" s="5"/>
      <c r="T220" s="5"/>
      <c r="U220" s="5"/>
      <c r="V220" s="5"/>
      <c r="W220" s="5"/>
      <c r="X220" s="5"/>
      <c r="Y220" s="5"/>
      <c r="Z220" s="5"/>
      <c r="AA220" s="5"/>
      <c r="AB220" s="2">
        <v>3.4499999999999999E-3</v>
      </c>
      <c r="AC220" s="2">
        <v>3.6900000000000001E-3</v>
      </c>
      <c r="AD220" s="2">
        <v>4.45E-3</v>
      </c>
      <c r="AE220" s="2">
        <v>2.3600000000000001E-3</v>
      </c>
      <c r="AF220" s="5"/>
      <c r="AG220" s="5"/>
      <c r="AH220" s="5"/>
      <c r="AI220" s="2">
        <v>3.3400000000000001E-3</v>
      </c>
      <c r="AJ220" s="5"/>
      <c r="AK220" s="2">
        <v>4.0299999999999997E-3</v>
      </c>
      <c r="AL220" s="2">
        <v>6.3299999999999997E-3</v>
      </c>
      <c r="AM220" s="5"/>
      <c r="AN220" s="2">
        <v>4.5700000000000003E-3</v>
      </c>
      <c r="AO220" s="2">
        <v>1.56E-3</v>
      </c>
      <c r="AP220" s="79">
        <v>34.200000000000003</v>
      </c>
    </row>
    <row r="221" spans="1:42">
      <c r="A221" s="8" t="s">
        <v>567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4">
        <v>0</v>
      </c>
      <c r="AP221" s="68"/>
    </row>
    <row r="222" spans="1:42">
      <c r="A222" s="8" t="s">
        <v>568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2">
        <v>0</v>
      </c>
      <c r="AP222" s="77"/>
    </row>
    <row r="223" spans="1:42">
      <c r="A223" s="8" t="s">
        <v>569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4">
        <v>0</v>
      </c>
      <c r="AP223" s="68"/>
    </row>
    <row r="224" spans="1:42">
      <c r="A224" s="8" t="s">
        <v>171</v>
      </c>
      <c r="B224" s="5"/>
      <c r="C224" s="2">
        <v>4.4799999999999996E-3</v>
      </c>
      <c r="D224" s="2">
        <v>3.2299999999999998E-3</v>
      </c>
      <c r="E224" s="5"/>
      <c r="F224" s="5"/>
      <c r="G224" s="5"/>
      <c r="H224" s="2">
        <v>3.15E-3</v>
      </c>
      <c r="I224" s="2">
        <v>2.1700000000000001E-3</v>
      </c>
      <c r="J224" s="5"/>
      <c r="K224" s="5"/>
      <c r="L224" s="2">
        <v>3.2100000000000002E-3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2">
        <v>3.0000000000000001E-3</v>
      </c>
      <c r="X224" s="5"/>
      <c r="Y224" s="5"/>
      <c r="Z224" s="5"/>
      <c r="AA224" s="5"/>
      <c r="AB224" s="2">
        <v>3.82E-3</v>
      </c>
      <c r="AC224" s="2">
        <v>2.5799999999999998E-3</v>
      </c>
      <c r="AD224" s="5"/>
      <c r="AE224" s="2">
        <v>9.8700000000000003E-4</v>
      </c>
      <c r="AF224" s="5"/>
      <c r="AG224" s="5"/>
      <c r="AH224" s="5"/>
      <c r="AI224" s="5"/>
      <c r="AJ224" s="2">
        <v>1.9499999999999999E-3</v>
      </c>
      <c r="AK224" s="5"/>
      <c r="AL224" s="5"/>
      <c r="AM224" s="5"/>
      <c r="AN224" s="2">
        <v>1.9499999999999999E-3</v>
      </c>
      <c r="AO224" s="5"/>
      <c r="AP224" s="79">
        <v>0</v>
      </c>
    </row>
    <row r="225" spans="1:42">
      <c r="A225" s="8" t="s">
        <v>570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4">
        <v>0</v>
      </c>
      <c r="AP225" s="68"/>
    </row>
    <row r="226" spans="1:42">
      <c r="A226" s="8" t="s">
        <v>172</v>
      </c>
      <c r="B226" s="5"/>
      <c r="C226" s="2">
        <v>4.2500000000000003E-3</v>
      </c>
      <c r="D226" s="2">
        <v>2.7699999999999999E-3</v>
      </c>
      <c r="E226" s="5"/>
      <c r="F226" s="5"/>
      <c r="G226" s="5"/>
      <c r="H226" s="2">
        <v>1.4599999999999999E-3</v>
      </c>
      <c r="I226" s="2">
        <v>1.6999999999999999E-3</v>
      </c>
      <c r="J226" s="5"/>
      <c r="K226" s="5"/>
      <c r="L226" s="2">
        <v>2.7399999999999998E-3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2">
        <v>1.5399999999999999E-3</v>
      </c>
      <c r="X226" s="5"/>
      <c r="Y226" s="5"/>
      <c r="Z226" s="5"/>
      <c r="AA226" s="5"/>
      <c r="AB226" s="2">
        <v>3.3600000000000001E-3</v>
      </c>
      <c r="AC226" s="2">
        <v>1.6299999999999999E-3</v>
      </c>
      <c r="AD226" s="5"/>
      <c r="AE226" s="5"/>
      <c r="AF226" s="5"/>
      <c r="AG226" s="5"/>
      <c r="AH226" s="5"/>
      <c r="AI226" s="5"/>
      <c r="AJ226" s="2">
        <v>1.91E-3</v>
      </c>
      <c r="AK226" s="5"/>
      <c r="AL226" s="5"/>
      <c r="AM226" s="5"/>
      <c r="AN226" s="2">
        <v>1.91E-3</v>
      </c>
      <c r="AO226" s="5"/>
      <c r="AP226" s="79">
        <v>0</v>
      </c>
    </row>
    <row r="227" spans="1:42">
      <c r="A227" s="8" t="s">
        <v>173</v>
      </c>
      <c r="B227" s="4">
        <v>0.124</v>
      </c>
      <c r="C227" s="4">
        <v>4.1099999999999998E-2</v>
      </c>
      <c r="D227" s="4">
        <v>3.1800000000000002E-2</v>
      </c>
      <c r="E227" s="4">
        <v>0.19900000000000001</v>
      </c>
      <c r="F227" s="4">
        <v>0.749</v>
      </c>
      <c r="G227" s="4">
        <v>0.11</v>
      </c>
      <c r="H227" s="4">
        <v>4.99E-2</v>
      </c>
      <c r="I227" s="4">
        <v>8.3299999999999999E-2</v>
      </c>
      <c r="J227" s="4">
        <v>5.3900000000000003E-2</v>
      </c>
      <c r="K227" s="4">
        <v>0.14499999999999999</v>
      </c>
      <c r="L227" s="4">
        <v>5.3400000000000003E-2</v>
      </c>
      <c r="M227" s="4">
        <v>0.371</v>
      </c>
      <c r="N227" s="4">
        <v>4.58E-2</v>
      </c>
      <c r="O227" s="4">
        <v>7.7899999999999997E-2</v>
      </c>
      <c r="P227" s="4">
        <v>0.13600000000000001</v>
      </c>
      <c r="Q227" s="4">
        <v>0.121</v>
      </c>
      <c r="R227" s="4">
        <v>0.151</v>
      </c>
      <c r="S227" s="4">
        <v>9.7199999999999995E-2</v>
      </c>
      <c r="T227" s="4">
        <v>9.9699999999999997E-2</v>
      </c>
      <c r="U227" s="4">
        <v>5.4100000000000002E-2</v>
      </c>
      <c r="V227" s="4">
        <v>0.16400000000000001</v>
      </c>
      <c r="W227" s="4">
        <v>0.12</v>
      </c>
      <c r="X227" s="4">
        <v>6.3200000000000006E-2</v>
      </c>
      <c r="Y227" s="4">
        <v>0.157</v>
      </c>
      <c r="Z227" s="4">
        <v>0.14099999999999999</v>
      </c>
      <c r="AA227" s="3"/>
      <c r="AB227" s="4">
        <v>0.11600000000000001</v>
      </c>
      <c r="AC227" s="4">
        <v>0.13800000000000001</v>
      </c>
      <c r="AD227" s="4">
        <v>0.14799999999999999</v>
      </c>
      <c r="AE227" s="4">
        <v>0.28399999999999997</v>
      </c>
      <c r="AF227" s="3"/>
      <c r="AG227" s="3"/>
      <c r="AH227" s="3"/>
      <c r="AI227" s="4">
        <v>0.104</v>
      </c>
      <c r="AJ227" s="4">
        <v>6.9500000000000006E-2</v>
      </c>
      <c r="AK227" s="4">
        <v>0.13800000000000001</v>
      </c>
      <c r="AL227" s="4">
        <v>0.14299999999999999</v>
      </c>
      <c r="AM227" s="3"/>
      <c r="AN227" s="4">
        <v>0.114</v>
      </c>
      <c r="AO227" s="4">
        <v>3.4000000000000002E-2</v>
      </c>
      <c r="AP227" s="78">
        <v>29.9</v>
      </c>
    </row>
    <row r="228" spans="1:42">
      <c r="A228" s="8" t="s">
        <v>174</v>
      </c>
      <c r="B228" s="2">
        <v>0.16800000000000001</v>
      </c>
      <c r="C228" s="2">
        <v>0.22700000000000001</v>
      </c>
      <c r="D228" s="2">
        <v>0.159</v>
      </c>
      <c r="E228" s="2">
        <v>0.42299999999999999</v>
      </c>
      <c r="F228" s="2">
        <v>0.83799999999999997</v>
      </c>
      <c r="G228" s="2">
        <v>0.14299999999999999</v>
      </c>
      <c r="H228" s="2">
        <v>0.33</v>
      </c>
      <c r="I228" s="2">
        <v>0.24399999999999999</v>
      </c>
      <c r="J228" s="2">
        <v>0.38900000000000001</v>
      </c>
      <c r="K228" s="2">
        <v>0.49</v>
      </c>
      <c r="L228" s="2">
        <v>0.374</v>
      </c>
      <c r="M228" s="2">
        <v>0.3</v>
      </c>
      <c r="N228" s="2">
        <v>0.189</v>
      </c>
      <c r="O228" s="2">
        <v>0.219</v>
      </c>
      <c r="P228" s="2">
        <v>0.23699999999999999</v>
      </c>
      <c r="Q228" s="2">
        <v>0.60599999999999998</v>
      </c>
      <c r="R228" s="2">
        <v>0.36699999999999999</v>
      </c>
      <c r="S228" s="2">
        <v>0.24199999999999999</v>
      </c>
      <c r="T228" s="2">
        <v>0.28299999999999997</v>
      </c>
      <c r="U228" s="2">
        <v>0.189</v>
      </c>
      <c r="V228" s="2">
        <v>0.30299999999999999</v>
      </c>
      <c r="W228" s="2">
        <v>0.28699999999999998</v>
      </c>
      <c r="X228" s="2">
        <v>0.216</v>
      </c>
      <c r="Y228" s="2">
        <v>0.28699999999999998</v>
      </c>
      <c r="Z228" s="2">
        <v>0.21</v>
      </c>
      <c r="AA228" s="5"/>
      <c r="AB228" s="2">
        <v>0.18099999999999999</v>
      </c>
      <c r="AC228" s="2">
        <v>0.47499999999999998</v>
      </c>
      <c r="AD228" s="2">
        <v>0.308</v>
      </c>
      <c r="AE228" s="2">
        <v>0.95899999999999996</v>
      </c>
      <c r="AF228" s="5"/>
      <c r="AG228" s="5"/>
      <c r="AH228" s="2">
        <v>0.20300000000000001</v>
      </c>
      <c r="AI228" s="2">
        <v>0.182</v>
      </c>
      <c r="AJ228" s="2">
        <v>0.35799999999999998</v>
      </c>
      <c r="AK228" s="2">
        <v>0.628</v>
      </c>
      <c r="AL228" s="2">
        <v>0.23</v>
      </c>
      <c r="AM228" s="5"/>
      <c r="AN228" s="2">
        <v>0.32</v>
      </c>
      <c r="AO228" s="2">
        <v>0.185</v>
      </c>
      <c r="AP228" s="79">
        <v>57.8</v>
      </c>
    </row>
    <row r="229" spans="1:42">
      <c r="A229" s="8" t="s">
        <v>571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4">
        <v>0</v>
      </c>
      <c r="AP229" s="68"/>
    </row>
    <row r="230" spans="1:42">
      <c r="A230" s="8" t="s">
        <v>175</v>
      </c>
      <c r="B230" s="5"/>
      <c r="C230" s="2">
        <v>3.44E-2</v>
      </c>
      <c r="D230" s="2">
        <v>2.6599999999999999E-2</v>
      </c>
      <c r="E230" s="5"/>
      <c r="F230" s="5"/>
      <c r="G230" s="2">
        <v>2.2499999999999998E-3</v>
      </c>
      <c r="H230" s="2">
        <v>2.3099999999999999E-2</v>
      </c>
      <c r="I230" s="2">
        <v>1.8800000000000001E-2</v>
      </c>
      <c r="J230" s="5"/>
      <c r="K230" s="5"/>
      <c r="L230" s="2">
        <v>2.0500000000000001E-2</v>
      </c>
      <c r="M230" s="5"/>
      <c r="N230" s="5"/>
      <c r="O230" s="5"/>
      <c r="P230" s="5"/>
      <c r="Q230" s="5"/>
      <c r="R230" s="2">
        <v>5.2100000000000002E-3</v>
      </c>
      <c r="S230" s="5"/>
      <c r="T230" s="5"/>
      <c r="U230" s="5"/>
      <c r="V230" s="5"/>
      <c r="W230" s="2">
        <v>8.7299999999999999E-3</v>
      </c>
      <c r="X230" s="5"/>
      <c r="Y230" s="5"/>
      <c r="Z230" s="2">
        <v>1.2500000000000001E-2</v>
      </c>
      <c r="AA230" s="5"/>
      <c r="AB230" s="2">
        <v>1.52E-2</v>
      </c>
      <c r="AC230" s="2">
        <v>1.17E-2</v>
      </c>
      <c r="AD230" s="2">
        <v>1.03E-2</v>
      </c>
      <c r="AE230" s="5"/>
      <c r="AF230" s="5"/>
      <c r="AG230" s="5"/>
      <c r="AH230" s="5"/>
      <c r="AI230" s="5"/>
      <c r="AJ230" s="2">
        <v>1.15E-2</v>
      </c>
      <c r="AK230" s="5"/>
      <c r="AL230" s="2">
        <v>7.8200000000000006E-3</v>
      </c>
      <c r="AM230" s="5"/>
      <c r="AN230" s="2">
        <v>9.6500000000000006E-3</v>
      </c>
      <c r="AO230" s="2">
        <v>2.5799999999999998E-3</v>
      </c>
      <c r="AP230" s="79">
        <v>26.7</v>
      </c>
    </row>
    <row r="231" spans="1:42">
      <c r="A231" s="8" t="s">
        <v>176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>
        <v>0.01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4">
        <v>4.0899999999999999E-3</v>
      </c>
      <c r="X231" s="3"/>
      <c r="Y231" s="3"/>
      <c r="Z231" s="3"/>
      <c r="AA231" s="3"/>
      <c r="AB231" s="4">
        <v>2.4199999999999998E-3</v>
      </c>
      <c r="AC231" s="3"/>
      <c r="AD231" s="3"/>
      <c r="AE231" s="3"/>
      <c r="AF231" s="3"/>
      <c r="AG231" s="3"/>
      <c r="AH231" s="4">
        <v>1.8799999999999999E-3</v>
      </c>
      <c r="AI231" s="3"/>
      <c r="AJ231" s="4">
        <v>2.1900000000000001E-3</v>
      </c>
      <c r="AK231" s="3"/>
      <c r="AL231" s="3"/>
      <c r="AM231" s="3"/>
      <c r="AN231" s="4">
        <v>2.0400000000000001E-3</v>
      </c>
      <c r="AO231" s="4">
        <v>2.22E-4</v>
      </c>
      <c r="AP231" s="78">
        <v>10.9</v>
      </c>
    </row>
    <row r="232" spans="1:42">
      <c r="A232" s="8" t="s">
        <v>177</v>
      </c>
      <c r="B232" s="5"/>
      <c r="C232" s="5"/>
      <c r="D232" s="5"/>
      <c r="E232" s="5"/>
      <c r="F232" s="5"/>
      <c r="G232" s="2">
        <v>2.0100000000000001E-3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2">
        <v>0</v>
      </c>
      <c r="AP232" s="77"/>
    </row>
    <row r="233" spans="1:42">
      <c r="A233" s="8" t="s">
        <v>572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4">
        <v>0</v>
      </c>
      <c r="AP233" s="68"/>
    </row>
    <row r="234" spans="1:42">
      <c r="A234" s="8" t="s">
        <v>573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2">
        <v>0</v>
      </c>
      <c r="AP234" s="77"/>
    </row>
    <row r="235" spans="1:42">
      <c r="A235" s="8" t="s">
        <v>574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4">
        <v>0</v>
      </c>
      <c r="AP235" s="68"/>
    </row>
    <row r="236" spans="1:42">
      <c r="A236" s="8" t="s">
        <v>575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2">
        <v>0</v>
      </c>
      <c r="AP236" s="77"/>
    </row>
    <row r="237" spans="1:42">
      <c r="A237" s="8" t="s">
        <v>576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4">
        <v>0</v>
      </c>
      <c r="AP237" s="68"/>
    </row>
    <row r="238" spans="1:42">
      <c r="A238" s="8" t="s">
        <v>577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2">
        <v>0</v>
      </c>
      <c r="AP238" s="77"/>
    </row>
    <row r="239" spans="1:42">
      <c r="A239" s="8" t="s">
        <v>578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4">
        <v>0</v>
      </c>
      <c r="AP239" s="68"/>
    </row>
    <row r="240" spans="1:42">
      <c r="A240" s="8" t="s">
        <v>579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2">
        <v>0</v>
      </c>
      <c r="AP240" s="77"/>
    </row>
    <row r="241" spans="1:42">
      <c r="A241" s="8" t="s">
        <v>580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4">
        <v>0</v>
      </c>
      <c r="AP241" s="68"/>
    </row>
    <row r="242" spans="1:42">
      <c r="A242" s="8" t="s">
        <v>581</v>
      </c>
      <c r="B242" s="5"/>
      <c r="C242" s="5"/>
      <c r="D242" s="5"/>
      <c r="E242" s="5"/>
      <c r="F242" s="2">
        <v>4.4999999999999997E-3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2">
        <v>2.5100000000000001E-3</v>
      </c>
      <c r="X242" s="5"/>
      <c r="Y242" s="5"/>
      <c r="Z242" s="5"/>
      <c r="AA242" s="5"/>
      <c r="AB242" s="2">
        <v>3.47E-3</v>
      </c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2">
        <v>0</v>
      </c>
      <c r="AP242" s="77"/>
    </row>
    <row r="243" spans="1:42">
      <c r="A243" s="8" t="s">
        <v>178</v>
      </c>
      <c r="B243" s="4">
        <v>3.7699999999999997E-2</v>
      </c>
      <c r="C243" s="4">
        <v>4.3999999999999997E-2</v>
      </c>
      <c r="D243" s="4">
        <v>2.64E-2</v>
      </c>
      <c r="E243" s="3"/>
      <c r="F243" s="4">
        <v>3.04E-2</v>
      </c>
      <c r="G243" s="4">
        <v>2.4199999999999999E-2</v>
      </c>
      <c r="H243" s="4">
        <v>5.11E-2</v>
      </c>
      <c r="I243" s="4">
        <v>4.3400000000000001E-2</v>
      </c>
      <c r="J243" s="4">
        <v>4.9700000000000001E-2</v>
      </c>
      <c r="K243" s="4">
        <v>5.3100000000000001E-2</v>
      </c>
      <c r="L243" s="4">
        <v>5.0799999999999998E-2</v>
      </c>
      <c r="M243" s="4">
        <v>7.1499999999999994E-2</v>
      </c>
      <c r="N243" s="4">
        <v>4.1700000000000001E-2</v>
      </c>
      <c r="O243" s="4">
        <v>3.9699999999999999E-2</v>
      </c>
      <c r="P243" s="4">
        <v>3.1300000000000001E-2</v>
      </c>
      <c r="Q243" s="4">
        <v>5.2999999999999999E-2</v>
      </c>
      <c r="R243" s="4">
        <v>2.6499999999999999E-2</v>
      </c>
      <c r="S243" s="4">
        <v>5.67E-2</v>
      </c>
      <c r="T243" s="4">
        <v>6.9800000000000001E-2</v>
      </c>
      <c r="U243" s="4">
        <v>3.85E-2</v>
      </c>
      <c r="V243" s="4">
        <v>5.5599999999999997E-2</v>
      </c>
      <c r="W243" s="4">
        <v>5.0999999999999997E-2</v>
      </c>
      <c r="X243" s="4">
        <v>4.0500000000000001E-2</v>
      </c>
      <c r="Y243" s="4">
        <v>4.1200000000000001E-2</v>
      </c>
      <c r="Z243" s="4">
        <v>5.7299999999999997E-2</v>
      </c>
      <c r="AA243" s="3"/>
      <c r="AB243" s="4">
        <v>3.04E-2</v>
      </c>
      <c r="AC243" s="4">
        <v>6.13E-2</v>
      </c>
      <c r="AD243" s="4">
        <v>3.3000000000000002E-2</v>
      </c>
      <c r="AE243" s="4">
        <v>0.13400000000000001</v>
      </c>
      <c r="AF243" s="3"/>
      <c r="AG243" s="3"/>
      <c r="AH243" s="4">
        <v>4.1599999999999998E-2</v>
      </c>
      <c r="AI243" s="4">
        <v>3.4700000000000002E-2</v>
      </c>
      <c r="AJ243" s="4">
        <v>4.36E-2</v>
      </c>
      <c r="AK243" s="4">
        <v>7.4099999999999999E-2</v>
      </c>
      <c r="AL243" s="4">
        <v>3.5999999999999997E-2</v>
      </c>
      <c r="AM243" s="3"/>
      <c r="AN243" s="4">
        <v>4.5999999999999999E-2</v>
      </c>
      <c r="AO243" s="4">
        <v>1.61E-2</v>
      </c>
      <c r="AP243" s="78">
        <v>35.1</v>
      </c>
    </row>
    <row r="244" spans="1:42">
      <c r="A244" s="8" t="s">
        <v>179</v>
      </c>
      <c r="B244" s="2">
        <v>8.2900000000000005E-3</v>
      </c>
      <c r="C244" s="2">
        <v>1.46E-2</v>
      </c>
      <c r="D244" s="2">
        <v>8.4399999999999996E-3</v>
      </c>
      <c r="E244" s="5"/>
      <c r="F244" s="5"/>
      <c r="G244" s="2">
        <v>6.0000000000000001E-3</v>
      </c>
      <c r="H244" s="2">
        <v>1.1599999999999999E-2</v>
      </c>
      <c r="I244" s="2">
        <v>1.0800000000000001E-2</v>
      </c>
      <c r="J244" s="2">
        <v>6.9800000000000001E-3</v>
      </c>
      <c r="K244" s="5"/>
      <c r="L244" s="2">
        <v>1.2200000000000001E-2</v>
      </c>
      <c r="M244" s="2">
        <v>1.9800000000000002E-2</v>
      </c>
      <c r="N244" s="2">
        <v>1.2E-2</v>
      </c>
      <c r="O244" s="2">
        <v>1.0699999999999999E-2</v>
      </c>
      <c r="P244" s="2">
        <v>7.2700000000000004E-3</v>
      </c>
      <c r="Q244" s="5"/>
      <c r="R244" s="2">
        <v>5.4900000000000001E-3</v>
      </c>
      <c r="S244" s="2">
        <v>1.04E-2</v>
      </c>
      <c r="T244" s="2">
        <v>7.1300000000000001E-3</v>
      </c>
      <c r="U244" s="2">
        <v>6.5900000000000004E-3</v>
      </c>
      <c r="V244" s="2">
        <v>1.2E-2</v>
      </c>
      <c r="W244" s="2">
        <v>8.8400000000000006E-3</v>
      </c>
      <c r="X244" s="2">
        <v>5.3400000000000001E-3</v>
      </c>
      <c r="Y244" s="2">
        <v>6.6699999999999997E-3</v>
      </c>
      <c r="Z244" s="2">
        <v>8.2699999999999996E-3</v>
      </c>
      <c r="AA244" s="5"/>
      <c r="AB244" s="2">
        <v>6.5300000000000002E-3</v>
      </c>
      <c r="AC244" s="2">
        <v>1.32E-2</v>
      </c>
      <c r="AD244" s="2">
        <v>1.4500000000000001E-2</v>
      </c>
      <c r="AE244" s="2">
        <v>4.41E-2</v>
      </c>
      <c r="AF244" s="5"/>
      <c r="AG244" s="5"/>
      <c r="AH244" s="5"/>
      <c r="AI244" s="2">
        <v>8.4499999999999992E-3</v>
      </c>
      <c r="AJ244" s="2">
        <v>8.1899999999999994E-3</v>
      </c>
      <c r="AK244" s="5"/>
      <c r="AL244" s="2">
        <v>8.5900000000000004E-3</v>
      </c>
      <c r="AM244" s="5"/>
      <c r="AN244" s="2">
        <v>8.4100000000000008E-3</v>
      </c>
      <c r="AO244" s="2">
        <v>2.03E-4</v>
      </c>
      <c r="AP244" s="79">
        <v>2.42</v>
      </c>
    </row>
    <row r="245" spans="1:42">
      <c r="A245" s="8" t="s">
        <v>180</v>
      </c>
      <c r="B245" s="3"/>
      <c r="C245" s="4">
        <v>1.29E-2</v>
      </c>
      <c r="D245" s="3"/>
      <c r="E245" s="3"/>
      <c r="F245" s="3"/>
      <c r="G245" s="3"/>
      <c r="H245" s="3"/>
      <c r="I245" s="3"/>
      <c r="J245" s="3"/>
      <c r="K245" s="3"/>
      <c r="L245" s="4">
        <v>4.4999999999999997E-3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4">
        <v>4.6100000000000004E-3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4">
        <v>0</v>
      </c>
      <c r="AP245" s="68"/>
    </row>
    <row r="246" spans="1:42">
      <c r="A246" s="8" t="s">
        <v>181</v>
      </c>
      <c r="B246" s="5"/>
      <c r="C246" s="5"/>
      <c r="D246" s="2">
        <v>1.0999999999999999E-2</v>
      </c>
      <c r="E246" s="5"/>
      <c r="F246" s="5"/>
      <c r="G246" s="5"/>
      <c r="H246" s="2">
        <v>1.34E-2</v>
      </c>
      <c r="I246" s="2">
        <v>9.9799999999999993E-3</v>
      </c>
      <c r="J246" s="5"/>
      <c r="K246" s="5"/>
      <c r="L246" s="2">
        <v>1.18E-2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2">
        <v>5.7800000000000004E-3</v>
      </c>
      <c r="AC246" s="5"/>
      <c r="AD246" s="5"/>
      <c r="AE246" s="5"/>
      <c r="AF246" s="5"/>
      <c r="AG246" s="5"/>
      <c r="AH246" s="2">
        <v>5.7000000000000002E-3</v>
      </c>
      <c r="AI246" s="5"/>
      <c r="AJ246" s="2">
        <v>6.1799999999999997E-3</v>
      </c>
      <c r="AK246" s="5"/>
      <c r="AL246" s="5"/>
      <c r="AM246" s="5"/>
      <c r="AN246" s="2">
        <v>5.94E-3</v>
      </c>
      <c r="AO246" s="2">
        <v>3.39E-4</v>
      </c>
      <c r="AP246" s="79">
        <v>5.7</v>
      </c>
    </row>
    <row r="247" spans="1:42">
      <c r="A247" s="8" t="s">
        <v>582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4">
        <v>0</v>
      </c>
      <c r="AP247" s="68"/>
    </row>
    <row r="248" spans="1:42">
      <c r="A248" s="8" t="s">
        <v>583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2">
        <v>0</v>
      </c>
      <c r="AP248" s="77"/>
    </row>
    <row r="249" spans="1:42">
      <c r="A249" s="8" t="s">
        <v>182</v>
      </c>
      <c r="B249" s="4">
        <v>0.1</v>
      </c>
      <c r="C249" s="4">
        <v>0.11600000000000001</v>
      </c>
      <c r="D249" s="4">
        <v>0.12</v>
      </c>
      <c r="E249" s="4">
        <v>0.41599999999999998</v>
      </c>
      <c r="F249" s="4">
        <v>1.0900000000000001</v>
      </c>
      <c r="G249" s="4">
        <v>0.114</v>
      </c>
      <c r="H249" s="4">
        <v>0.17699999999999999</v>
      </c>
      <c r="I249" s="4">
        <v>8.5000000000000006E-2</v>
      </c>
      <c r="J249" s="4">
        <v>0.222</v>
      </c>
      <c r="K249" s="4">
        <v>0.27700000000000002</v>
      </c>
      <c r="L249" s="4">
        <v>0.34799999999999998</v>
      </c>
      <c r="M249" s="4">
        <v>0.13600000000000001</v>
      </c>
      <c r="N249" s="4">
        <v>0.13800000000000001</v>
      </c>
      <c r="O249" s="4">
        <v>0.33100000000000002</v>
      </c>
      <c r="P249" s="4">
        <v>0.33</v>
      </c>
      <c r="Q249" s="4">
        <v>0.50600000000000001</v>
      </c>
      <c r="R249" s="4">
        <v>0.498</v>
      </c>
      <c r="S249" s="4">
        <v>0.112</v>
      </c>
      <c r="T249" s="4">
        <v>0.1</v>
      </c>
      <c r="U249" s="4">
        <v>8.3900000000000002E-2</v>
      </c>
      <c r="V249" s="4">
        <v>0.19900000000000001</v>
      </c>
      <c r="W249" s="4">
        <v>0.45400000000000001</v>
      </c>
      <c r="X249" s="4">
        <v>0.29299999999999998</v>
      </c>
      <c r="Y249" s="4">
        <v>0.57499999999999996</v>
      </c>
      <c r="Z249" s="4">
        <v>0.218</v>
      </c>
      <c r="AA249" s="3"/>
      <c r="AB249" s="4">
        <v>0.20399999999999999</v>
      </c>
      <c r="AC249" s="4">
        <v>0.70299999999999996</v>
      </c>
      <c r="AD249" s="4">
        <v>0.19</v>
      </c>
      <c r="AE249" s="4">
        <v>0.752</v>
      </c>
      <c r="AF249" s="3"/>
      <c r="AG249" s="3"/>
      <c r="AH249" s="4">
        <v>0.20200000000000001</v>
      </c>
      <c r="AI249" s="4">
        <v>0.156</v>
      </c>
      <c r="AJ249" s="4">
        <v>0.34300000000000003</v>
      </c>
      <c r="AK249" s="4">
        <v>0.66100000000000003</v>
      </c>
      <c r="AL249" s="4">
        <v>0.182</v>
      </c>
      <c r="AM249" s="3"/>
      <c r="AN249" s="4">
        <v>0.309</v>
      </c>
      <c r="AO249" s="4">
        <v>0.21</v>
      </c>
      <c r="AP249" s="78">
        <v>68</v>
      </c>
    </row>
    <row r="250" spans="1:42">
      <c r="A250" s="8" t="s">
        <v>183</v>
      </c>
      <c r="B250" s="2">
        <v>6.2199999999999998E-3</v>
      </c>
      <c r="C250" s="2">
        <v>1.1299999999999999E-2</v>
      </c>
      <c r="D250" s="5"/>
      <c r="E250" s="5"/>
      <c r="F250" s="2">
        <v>5.0500000000000003E-2</v>
      </c>
      <c r="G250" s="2">
        <v>8.7500000000000008E-3</v>
      </c>
      <c r="H250" s="2">
        <v>8.6599999999999993E-3</v>
      </c>
      <c r="I250" s="2">
        <v>1.41E-2</v>
      </c>
      <c r="J250" s="2">
        <v>1.41E-2</v>
      </c>
      <c r="K250" s="2">
        <v>4.0300000000000002E-2</v>
      </c>
      <c r="L250" s="2">
        <v>1.3899999999999999E-2</v>
      </c>
      <c r="M250" s="5"/>
      <c r="N250" s="2">
        <v>6.2100000000000002E-3</v>
      </c>
      <c r="O250" s="2">
        <v>9.5399999999999999E-3</v>
      </c>
      <c r="P250" s="2">
        <v>8.9300000000000004E-3</v>
      </c>
      <c r="Q250" s="2">
        <v>4.5199999999999997E-2</v>
      </c>
      <c r="R250" s="2">
        <v>1.43E-2</v>
      </c>
      <c r="S250" s="2">
        <v>1.12E-2</v>
      </c>
      <c r="T250" s="2">
        <v>1.44E-2</v>
      </c>
      <c r="U250" s="2">
        <v>1.72E-2</v>
      </c>
      <c r="V250" s="2">
        <v>1.5100000000000001E-2</v>
      </c>
      <c r="W250" s="2">
        <v>1.0999999999999999E-2</v>
      </c>
      <c r="X250" s="2">
        <v>7.6099999999999996E-3</v>
      </c>
      <c r="Y250" s="2">
        <v>1.2999999999999999E-2</v>
      </c>
      <c r="Z250" s="2">
        <v>1.0800000000000001E-2</v>
      </c>
      <c r="AA250" s="5"/>
      <c r="AB250" s="2">
        <v>1.3899999999999999E-2</v>
      </c>
      <c r="AC250" s="2">
        <v>1.09E-2</v>
      </c>
      <c r="AD250" s="2">
        <v>5.1200000000000004E-3</v>
      </c>
      <c r="AE250" s="2">
        <v>0.14499999999999999</v>
      </c>
      <c r="AF250" s="5"/>
      <c r="AG250" s="5"/>
      <c r="AH250" s="2">
        <v>1.66E-2</v>
      </c>
      <c r="AI250" s="5"/>
      <c r="AJ250" s="2">
        <v>9.8600000000000007E-3</v>
      </c>
      <c r="AK250" s="2">
        <v>3.7600000000000001E-2</v>
      </c>
      <c r="AL250" s="2">
        <v>7.3800000000000003E-3</v>
      </c>
      <c r="AM250" s="5"/>
      <c r="AN250" s="2">
        <v>1.7899999999999999E-2</v>
      </c>
      <c r="AO250" s="2">
        <v>1.37E-2</v>
      </c>
      <c r="AP250" s="79">
        <v>76.900000000000006</v>
      </c>
    </row>
    <row r="251" spans="1:42">
      <c r="A251" s="8" t="s">
        <v>584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4">
        <v>0</v>
      </c>
      <c r="AP251" s="68"/>
    </row>
    <row r="252" spans="1:42">
      <c r="A252" s="8" t="s">
        <v>585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2">
        <v>0</v>
      </c>
      <c r="AP252" s="77"/>
    </row>
    <row r="253" spans="1:42">
      <c r="A253" s="8" t="s">
        <v>586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4">
        <v>0</v>
      </c>
      <c r="AP253" s="68"/>
    </row>
    <row r="254" spans="1:42">
      <c r="A254" s="8" t="s">
        <v>587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2">
        <v>0</v>
      </c>
      <c r="AP254" s="77"/>
    </row>
    <row r="255" spans="1:42">
      <c r="A255" s="8" t="s">
        <v>588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4">
        <v>0</v>
      </c>
      <c r="AP255" s="68"/>
    </row>
    <row r="256" spans="1:42">
      <c r="A256" s="8" t="s">
        <v>184</v>
      </c>
      <c r="B256" s="2">
        <v>4.0200000000000001E-3</v>
      </c>
      <c r="C256" s="2">
        <v>9.4699999999999993E-3</v>
      </c>
      <c r="D256" s="2">
        <v>1.0699999999999999E-2</v>
      </c>
      <c r="E256" s="5"/>
      <c r="F256" s="5"/>
      <c r="G256" s="2">
        <v>1.44E-2</v>
      </c>
      <c r="H256" s="2">
        <v>8.9499999999999996E-3</v>
      </c>
      <c r="I256" s="2">
        <v>7.2399999999999999E-3</v>
      </c>
      <c r="J256" s="2">
        <v>7.4000000000000003E-3</v>
      </c>
      <c r="K256" s="5"/>
      <c r="L256" s="2">
        <v>8.6599999999999993E-3</v>
      </c>
      <c r="M256" s="5"/>
      <c r="N256" s="2">
        <v>3.7599999999999999E-3</v>
      </c>
      <c r="O256" s="2">
        <v>4.1200000000000004E-3</v>
      </c>
      <c r="P256" s="2">
        <v>6.4799999999999996E-3</v>
      </c>
      <c r="Q256" s="5"/>
      <c r="R256" s="2">
        <v>9.4699999999999993E-3</v>
      </c>
      <c r="S256" s="2">
        <v>2.81E-3</v>
      </c>
      <c r="T256" s="2">
        <v>4.1399999999999996E-3</v>
      </c>
      <c r="U256" s="2">
        <v>3.4499999999999999E-3</v>
      </c>
      <c r="V256" s="2">
        <v>6.2399999999999999E-3</v>
      </c>
      <c r="W256" s="2">
        <v>5.5900000000000004E-3</v>
      </c>
      <c r="X256" s="2">
        <v>3.6800000000000001E-3</v>
      </c>
      <c r="Y256" s="2">
        <v>4.2700000000000004E-3</v>
      </c>
      <c r="Z256" s="2">
        <v>3.46E-3</v>
      </c>
      <c r="AA256" s="5"/>
      <c r="AB256" s="2">
        <v>1.09E-2</v>
      </c>
      <c r="AC256" s="2">
        <v>6.94E-3</v>
      </c>
      <c r="AD256" s="2">
        <v>7.6899999999999998E-3</v>
      </c>
      <c r="AE256" s="5"/>
      <c r="AF256" s="5"/>
      <c r="AG256" s="5"/>
      <c r="AH256" s="2">
        <v>5.5300000000000002E-3</v>
      </c>
      <c r="AI256" s="2">
        <v>4.7999999999999996E-3</v>
      </c>
      <c r="AJ256" s="2">
        <v>9.8200000000000006E-3</v>
      </c>
      <c r="AK256" s="5"/>
      <c r="AL256" s="2">
        <v>9.9399999999999992E-3</v>
      </c>
      <c r="AM256" s="5"/>
      <c r="AN256" s="2">
        <v>7.5199999999999998E-3</v>
      </c>
      <c r="AO256" s="2">
        <v>2.7399999999999998E-3</v>
      </c>
      <c r="AP256" s="79">
        <v>36.4</v>
      </c>
    </row>
    <row r="257" spans="1:42">
      <c r="A257" s="8" t="s">
        <v>589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4">
        <v>1.39E-3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4">
        <v>0</v>
      </c>
      <c r="AP257" s="68"/>
    </row>
    <row r="258" spans="1:42">
      <c r="A258" s="8" t="s">
        <v>590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2">
        <v>0</v>
      </c>
      <c r="AP258" s="77"/>
    </row>
    <row r="259" spans="1:42">
      <c r="A259" s="8" t="s">
        <v>185</v>
      </c>
      <c r="B259" s="3"/>
      <c r="C259" s="4">
        <v>7.3099999999999997E-3</v>
      </c>
      <c r="D259" s="4">
        <v>5.1599999999999997E-3</v>
      </c>
      <c r="E259" s="4">
        <v>4.2900000000000004E-3</v>
      </c>
      <c r="F259" s="4">
        <v>1.11E-2</v>
      </c>
      <c r="G259" s="3"/>
      <c r="H259" s="4">
        <v>3.3300000000000001E-3</v>
      </c>
      <c r="I259" s="4">
        <v>3.6800000000000001E-3</v>
      </c>
      <c r="J259" s="4">
        <v>3.2499999999999999E-3</v>
      </c>
      <c r="K259" s="4">
        <v>4.2700000000000004E-3</v>
      </c>
      <c r="L259" s="4">
        <v>4.2300000000000003E-3</v>
      </c>
      <c r="M259" s="3"/>
      <c r="N259" s="3"/>
      <c r="O259" s="3"/>
      <c r="P259" s="3"/>
      <c r="Q259" s="3"/>
      <c r="R259" s="3"/>
      <c r="S259" s="3"/>
      <c r="T259" s="4">
        <v>4.5599999999999998E-3</v>
      </c>
      <c r="U259" s="3"/>
      <c r="V259" s="3"/>
      <c r="W259" s="4">
        <v>3.2399999999999998E-3</v>
      </c>
      <c r="X259" s="3"/>
      <c r="Y259" s="4">
        <v>2.32E-3</v>
      </c>
      <c r="Z259" s="3"/>
      <c r="AA259" s="3"/>
      <c r="AB259" s="4">
        <v>2.4599999999999999E-3</v>
      </c>
      <c r="AC259" s="3"/>
      <c r="AD259" s="3"/>
      <c r="AE259" s="4">
        <v>1.1900000000000001E-2</v>
      </c>
      <c r="AF259" s="3"/>
      <c r="AG259" s="3"/>
      <c r="AH259" s="3"/>
      <c r="AI259" s="3"/>
      <c r="AJ259" s="4">
        <v>3.7200000000000002E-3</v>
      </c>
      <c r="AK259" s="3"/>
      <c r="AL259" s="3"/>
      <c r="AM259" s="3"/>
      <c r="AN259" s="4">
        <v>3.7200000000000002E-3</v>
      </c>
      <c r="AO259" s="3"/>
      <c r="AP259" s="78">
        <v>0</v>
      </c>
    </row>
    <row r="260" spans="1:42">
      <c r="A260" s="8" t="s">
        <v>186</v>
      </c>
      <c r="B260" s="2">
        <v>13</v>
      </c>
      <c r="C260" s="2">
        <v>19.899999999999999</v>
      </c>
      <c r="D260" s="2">
        <v>17.899999999999999</v>
      </c>
      <c r="E260" s="2">
        <v>36.799999999999997</v>
      </c>
      <c r="F260" s="2">
        <v>39</v>
      </c>
      <c r="G260" s="5"/>
      <c r="H260" s="2">
        <v>15.9</v>
      </c>
      <c r="I260" s="2">
        <v>16.600000000000001</v>
      </c>
      <c r="J260" s="2">
        <v>14.6</v>
      </c>
      <c r="K260" s="2">
        <v>47.1</v>
      </c>
      <c r="L260" s="2">
        <v>11.6</v>
      </c>
      <c r="M260" s="2">
        <v>25.3</v>
      </c>
      <c r="N260" s="2">
        <v>23.3</v>
      </c>
      <c r="O260" s="2">
        <v>20.8</v>
      </c>
      <c r="P260" s="2">
        <v>17.5</v>
      </c>
      <c r="Q260" s="2">
        <v>51.4</v>
      </c>
      <c r="R260" s="5"/>
      <c r="S260" s="2">
        <v>3.39</v>
      </c>
      <c r="T260" s="2">
        <v>4.1900000000000004</v>
      </c>
      <c r="U260" s="2">
        <v>1.76</v>
      </c>
      <c r="V260" s="2">
        <v>2.2000000000000002</v>
      </c>
      <c r="W260" s="2">
        <v>0.84799999999999998</v>
      </c>
      <c r="X260" s="2">
        <v>0.84499999999999997</v>
      </c>
      <c r="Y260" s="2">
        <v>1.1499999999999999</v>
      </c>
      <c r="Z260" s="2">
        <v>2.2000000000000002</v>
      </c>
      <c r="AA260" s="5"/>
      <c r="AB260" s="5"/>
      <c r="AC260" s="5"/>
      <c r="AD260" s="5"/>
      <c r="AE260" s="2">
        <v>68.400000000000006</v>
      </c>
      <c r="AF260" s="5"/>
      <c r="AG260" s="5"/>
      <c r="AH260" s="2">
        <v>1.1599999999999999</v>
      </c>
      <c r="AI260" s="2">
        <v>19.7</v>
      </c>
      <c r="AJ260" s="2">
        <v>10</v>
      </c>
      <c r="AK260" s="2">
        <v>33.700000000000003</v>
      </c>
      <c r="AL260" s="5"/>
      <c r="AM260" s="5"/>
      <c r="AN260" s="2">
        <v>16.100000000000001</v>
      </c>
      <c r="AO260" s="2">
        <v>13.9</v>
      </c>
      <c r="AP260" s="79">
        <v>86.3</v>
      </c>
    </row>
    <row r="261" spans="1:42">
      <c r="A261" s="8" t="s">
        <v>591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4">
        <v>0</v>
      </c>
      <c r="AP261" s="68"/>
    </row>
    <row r="262" spans="1:42">
      <c r="A262" s="8" t="s">
        <v>592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2">
        <v>0</v>
      </c>
      <c r="AP262" s="77"/>
    </row>
    <row r="263" spans="1:42">
      <c r="A263" s="8" t="s">
        <v>593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4">
        <v>0</v>
      </c>
      <c r="AP263" s="68"/>
    </row>
    <row r="264" spans="1:42">
      <c r="A264" s="8" t="s">
        <v>187</v>
      </c>
      <c r="B264" s="2">
        <v>8.2900000000000001E-2</v>
      </c>
      <c r="C264" s="2">
        <v>9.3799999999999994E-2</v>
      </c>
      <c r="D264" s="2">
        <v>5.5100000000000003E-2</v>
      </c>
      <c r="E264" s="2">
        <v>7.4499999999999997E-2</v>
      </c>
      <c r="F264" s="2">
        <v>0.14699999999999999</v>
      </c>
      <c r="G264" s="2">
        <v>4.24E-2</v>
      </c>
      <c r="H264" s="2">
        <v>0.11899999999999999</v>
      </c>
      <c r="I264" s="2">
        <v>0.10199999999999999</v>
      </c>
      <c r="J264" s="2">
        <v>0.128</v>
      </c>
      <c r="K264" s="2">
        <v>9.4799999999999995E-2</v>
      </c>
      <c r="L264" s="2">
        <v>0.159</v>
      </c>
      <c r="M264" s="2">
        <v>0.13200000000000001</v>
      </c>
      <c r="N264" s="2">
        <v>6.93E-2</v>
      </c>
      <c r="O264" s="2">
        <v>8.1000000000000003E-2</v>
      </c>
      <c r="P264" s="2">
        <v>9.2399999999999996E-2</v>
      </c>
      <c r="Q264" s="2">
        <v>8.2299999999999998E-2</v>
      </c>
      <c r="R264" s="2">
        <v>0.114</v>
      </c>
      <c r="S264" s="2">
        <v>0.108</v>
      </c>
      <c r="T264" s="2">
        <v>4.0399999999999998E-2</v>
      </c>
      <c r="U264" s="2">
        <v>9.4700000000000006E-2</v>
      </c>
      <c r="V264" s="2">
        <v>0.10199999999999999</v>
      </c>
      <c r="W264" s="2">
        <v>0.14299999999999999</v>
      </c>
      <c r="X264" s="2">
        <v>0.105</v>
      </c>
      <c r="Y264" s="2">
        <v>0.125</v>
      </c>
      <c r="Z264" s="2">
        <v>8.2199999999999995E-2</v>
      </c>
      <c r="AA264" s="5"/>
      <c r="AB264" s="2">
        <v>6.2899999999999998E-2</v>
      </c>
      <c r="AC264" s="2">
        <v>0.156</v>
      </c>
      <c r="AD264" s="2">
        <v>9.8199999999999996E-2</v>
      </c>
      <c r="AE264" s="2">
        <v>0.109</v>
      </c>
      <c r="AF264" s="5"/>
      <c r="AG264" s="5"/>
      <c r="AH264" s="2">
        <v>6.25E-2</v>
      </c>
      <c r="AI264" s="2">
        <v>7.1199999999999999E-2</v>
      </c>
      <c r="AJ264" s="2">
        <v>0.14299999999999999</v>
      </c>
      <c r="AK264" s="2">
        <v>0.11600000000000001</v>
      </c>
      <c r="AL264" s="2">
        <v>7.7899999999999997E-2</v>
      </c>
      <c r="AM264" s="5"/>
      <c r="AN264" s="2">
        <v>9.4200000000000006E-2</v>
      </c>
      <c r="AO264" s="2">
        <v>3.4099999999999998E-2</v>
      </c>
      <c r="AP264" s="79">
        <v>36.200000000000003</v>
      </c>
    </row>
    <row r="265" spans="1:42">
      <c r="A265" s="8" t="s">
        <v>594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4">
        <v>4.0400000000000002E-3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4">
        <v>0</v>
      </c>
      <c r="AP265" s="68"/>
    </row>
    <row r="266" spans="1:42">
      <c r="A266" s="8" t="s">
        <v>595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2">
        <v>0</v>
      </c>
      <c r="AP266" s="77"/>
    </row>
    <row r="267" spans="1:42">
      <c r="A267" s="8" t="s">
        <v>596</v>
      </c>
      <c r="B267" s="3"/>
      <c r="C267" s="3"/>
      <c r="D267" s="3"/>
      <c r="E267" s="3"/>
      <c r="F267" s="4">
        <v>2.3400000000000001E-2</v>
      </c>
      <c r="G267" s="3"/>
      <c r="H267" s="3"/>
      <c r="I267" s="3"/>
      <c r="J267" s="3"/>
      <c r="K267" s="3"/>
      <c r="L267" s="3"/>
      <c r="M267" s="3"/>
      <c r="N267" s="4">
        <v>1.04E-2</v>
      </c>
      <c r="O267" s="4">
        <v>1.2E-2</v>
      </c>
      <c r="P267" s="3"/>
      <c r="Q267" s="3"/>
      <c r="R267" s="3"/>
      <c r="S267" s="3"/>
      <c r="T267" s="3"/>
      <c r="U267" s="4">
        <v>9.5300000000000003E-3</v>
      </c>
      <c r="V267" s="3"/>
      <c r="W267" s="4">
        <v>7.5700000000000003E-3</v>
      </c>
      <c r="X267" s="3"/>
      <c r="Y267" s="4">
        <v>7.6499999999999997E-3</v>
      </c>
      <c r="Z267" s="3"/>
      <c r="AA267" s="3"/>
      <c r="AB267" s="4">
        <v>3.46E-3</v>
      </c>
      <c r="AC267" s="3"/>
      <c r="AD267" s="3"/>
      <c r="AE267" s="4">
        <v>3.2599999999999997E-2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4">
        <v>0</v>
      </c>
      <c r="AP267" s="68"/>
    </row>
    <row r="268" spans="1:42">
      <c r="A268" s="8" t="s">
        <v>188</v>
      </c>
      <c r="B268" s="2">
        <v>0.13300000000000001</v>
      </c>
      <c r="C268" s="2">
        <v>0.13100000000000001</v>
      </c>
      <c r="D268" s="2">
        <v>7.9899999999999999E-2</v>
      </c>
      <c r="E268" s="2">
        <v>9.64E-2</v>
      </c>
      <c r="F268" s="2">
        <v>0.17199999999999999</v>
      </c>
      <c r="G268" s="2">
        <v>0.14699999999999999</v>
      </c>
      <c r="H268" s="2">
        <v>0.159</v>
      </c>
      <c r="I268" s="2">
        <v>0.14199999999999999</v>
      </c>
      <c r="J268" s="2">
        <v>0.17799999999999999</v>
      </c>
      <c r="K268" s="2">
        <v>0.13100000000000001</v>
      </c>
      <c r="L268" s="2">
        <v>0.155</v>
      </c>
      <c r="M268" s="2">
        <v>0.20799999999999999</v>
      </c>
      <c r="N268" s="2">
        <v>0.155</v>
      </c>
      <c r="O268" s="2">
        <v>0.22600000000000001</v>
      </c>
      <c r="P268" s="2">
        <v>0.16600000000000001</v>
      </c>
      <c r="Q268" s="2">
        <v>0.21199999999999999</v>
      </c>
      <c r="R268" s="2">
        <v>0.23599999999999999</v>
      </c>
      <c r="S268" s="2">
        <v>0.14799999999999999</v>
      </c>
      <c r="T268" s="2">
        <v>0.17499999999999999</v>
      </c>
      <c r="U268" s="2">
        <v>0.17</v>
      </c>
      <c r="V268" s="2">
        <v>0.25800000000000001</v>
      </c>
      <c r="W268" s="2">
        <v>0.20599999999999999</v>
      </c>
      <c r="X268" s="2">
        <v>0.156</v>
      </c>
      <c r="Y268" s="2">
        <v>0.191</v>
      </c>
      <c r="Z268" s="2">
        <v>0.17100000000000001</v>
      </c>
      <c r="AA268" s="5"/>
      <c r="AB268" s="2">
        <v>0.1</v>
      </c>
      <c r="AC268" s="2">
        <v>0.25800000000000001</v>
      </c>
      <c r="AD268" s="2">
        <v>0.223</v>
      </c>
      <c r="AE268" s="2">
        <v>0.26700000000000002</v>
      </c>
      <c r="AF268" s="5"/>
      <c r="AG268" s="5"/>
      <c r="AH268" s="5"/>
      <c r="AI268" s="2">
        <v>0.19900000000000001</v>
      </c>
      <c r="AJ268" s="2">
        <v>0.18099999999999999</v>
      </c>
      <c r="AK268" s="2">
        <v>0.20100000000000001</v>
      </c>
      <c r="AL268" s="2">
        <v>0.222</v>
      </c>
      <c r="AM268" s="5"/>
      <c r="AN268" s="2">
        <v>0.20100000000000001</v>
      </c>
      <c r="AO268" s="2">
        <v>1.6899999999999998E-2</v>
      </c>
      <c r="AP268" s="79">
        <v>8.41</v>
      </c>
    </row>
    <row r="269" spans="1:42">
      <c r="A269" s="8" t="s">
        <v>189</v>
      </c>
      <c r="B269" s="3"/>
      <c r="C269" s="4">
        <v>2.9099999999999998E-3</v>
      </c>
      <c r="D269" s="3"/>
      <c r="E269" s="3"/>
      <c r="F269" s="3"/>
      <c r="G269" s="3"/>
      <c r="H269" s="3"/>
      <c r="I269" s="4">
        <v>1.49E-3</v>
      </c>
      <c r="J269" s="3"/>
      <c r="K269" s="3"/>
      <c r="L269" s="4">
        <v>2.3999999999999998E-3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4">
        <v>2.48E-3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4">
        <v>0</v>
      </c>
      <c r="AP269" s="68"/>
    </row>
    <row r="270" spans="1:42">
      <c r="A270" s="8" t="s">
        <v>190</v>
      </c>
      <c r="B270" s="2">
        <v>3.4799999999999998E-2</v>
      </c>
      <c r="C270" s="2">
        <v>2.6700000000000002E-2</v>
      </c>
      <c r="D270" s="2">
        <v>7.43E-3</v>
      </c>
      <c r="E270" s="2">
        <v>4.2000000000000003E-2</v>
      </c>
      <c r="F270" s="2">
        <v>4.3900000000000002E-2</v>
      </c>
      <c r="G270" s="2">
        <v>2.9100000000000001E-2</v>
      </c>
      <c r="H270" s="2">
        <v>2.3400000000000001E-2</v>
      </c>
      <c r="I270" s="2">
        <v>3.3399999999999999E-2</v>
      </c>
      <c r="J270" s="2">
        <v>2.5499999999999998E-2</v>
      </c>
      <c r="K270" s="2">
        <v>4.4400000000000002E-2</v>
      </c>
      <c r="L270" s="2">
        <v>1.8499999999999999E-2</v>
      </c>
      <c r="M270" s="2">
        <v>4.1300000000000003E-2</v>
      </c>
      <c r="N270" s="2">
        <v>2.9600000000000001E-2</v>
      </c>
      <c r="O270" s="2">
        <v>2.2700000000000001E-2</v>
      </c>
      <c r="P270" s="2">
        <v>3.32E-2</v>
      </c>
      <c r="Q270" s="2">
        <v>4.1799999999999997E-2</v>
      </c>
      <c r="R270" s="2">
        <v>3.0499999999999999E-2</v>
      </c>
      <c r="S270" s="2">
        <v>4.0599999999999997E-2</v>
      </c>
      <c r="T270" s="2">
        <v>1.4200000000000001E-2</v>
      </c>
      <c r="U270" s="2">
        <v>2.35E-2</v>
      </c>
      <c r="V270" s="2">
        <v>4.4200000000000003E-2</v>
      </c>
      <c r="W270" s="2">
        <v>4.7699999999999999E-2</v>
      </c>
      <c r="X270" s="2">
        <v>3.0300000000000001E-2</v>
      </c>
      <c r="Y270" s="2">
        <v>3.27E-2</v>
      </c>
      <c r="Z270" s="2">
        <v>5.3900000000000003E-2</v>
      </c>
      <c r="AA270" s="5"/>
      <c r="AB270" s="2">
        <v>3.15E-2</v>
      </c>
      <c r="AC270" s="2">
        <v>2.9499999999999998E-2</v>
      </c>
      <c r="AD270" s="2">
        <v>4.9899999999999996E-3</v>
      </c>
      <c r="AE270" s="5"/>
      <c r="AF270" s="5"/>
      <c r="AG270" s="5"/>
      <c r="AH270" s="5"/>
      <c r="AI270" s="2">
        <v>4.4299999999999999E-2</v>
      </c>
      <c r="AJ270" s="2">
        <v>2.5899999999999999E-2</v>
      </c>
      <c r="AK270" s="2">
        <v>6.1699999999999998E-2</v>
      </c>
      <c r="AL270" s="2">
        <v>4.3999999999999997E-2</v>
      </c>
      <c r="AM270" s="5"/>
      <c r="AN270" s="2">
        <v>4.3999999999999997E-2</v>
      </c>
      <c r="AO270" s="2">
        <v>1.46E-2</v>
      </c>
      <c r="AP270" s="79">
        <v>33.299999999999997</v>
      </c>
    </row>
    <row r="271" spans="1:42">
      <c r="A271" s="8" t="s">
        <v>597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4">
        <v>0</v>
      </c>
      <c r="AP271" s="68"/>
    </row>
    <row r="272" spans="1:42">
      <c r="A272" s="8" t="s">
        <v>191</v>
      </c>
      <c r="B272" s="2">
        <v>4.0400000000000002E-3</v>
      </c>
      <c r="C272" s="2">
        <v>2.7E-2</v>
      </c>
      <c r="D272" s="2">
        <v>1.37E-2</v>
      </c>
      <c r="E272" s="5"/>
      <c r="F272" s="5"/>
      <c r="G272" s="2">
        <v>6.1399999999999996E-3</v>
      </c>
      <c r="H272" s="2">
        <v>2.81E-2</v>
      </c>
      <c r="I272" s="2">
        <v>1.5299999999999999E-2</v>
      </c>
      <c r="J272" s="2">
        <v>1.5299999999999999E-2</v>
      </c>
      <c r="K272" s="5"/>
      <c r="L272" s="2">
        <v>2.1999999999999999E-2</v>
      </c>
      <c r="M272" s="2">
        <v>6.9199999999999999E-3</v>
      </c>
      <c r="N272" s="2">
        <v>5.7400000000000003E-3</v>
      </c>
      <c r="O272" s="2">
        <v>4.6600000000000001E-3</v>
      </c>
      <c r="P272" s="2">
        <v>5.4599999999999996E-3</v>
      </c>
      <c r="Q272" s="5"/>
      <c r="R272" s="2">
        <v>8.2900000000000005E-3</v>
      </c>
      <c r="S272" s="5"/>
      <c r="T272" s="2">
        <v>4.5399999999999998E-3</v>
      </c>
      <c r="U272" s="2">
        <v>8.9700000000000005E-3</v>
      </c>
      <c r="V272" s="2">
        <v>7.6299999999999996E-3</v>
      </c>
      <c r="W272" s="2">
        <v>1.06E-2</v>
      </c>
      <c r="X272" s="2">
        <v>7.3099999999999997E-3</v>
      </c>
      <c r="Y272" s="2">
        <v>7.1700000000000002E-3</v>
      </c>
      <c r="Z272" s="2">
        <v>9.92E-3</v>
      </c>
      <c r="AA272" s="5"/>
      <c r="AB272" s="2">
        <v>9.8300000000000002E-3</v>
      </c>
      <c r="AC272" s="2">
        <v>1.0699999999999999E-2</v>
      </c>
      <c r="AD272" s="2">
        <v>9.4599999999999997E-3</v>
      </c>
      <c r="AE272" s="5"/>
      <c r="AF272" s="5"/>
      <c r="AG272" s="5"/>
      <c r="AH272" s="2">
        <v>5.9899999999999997E-3</v>
      </c>
      <c r="AI272" s="2">
        <v>4.8799999999999998E-3</v>
      </c>
      <c r="AJ272" s="2">
        <v>1.61E-2</v>
      </c>
      <c r="AK272" s="5"/>
      <c r="AL272" s="2">
        <v>9.7099999999999999E-3</v>
      </c>
      <c r="AM272" s="5"/>
      <c r="AN272" s="2">
        <v>9.1699999999999993E-3</v>
      </c>
      <c r="AO272" s="2">
        <v>5.0600000000000003E-3</v>
      </c>
      <c r="AP272" s="79">
        <v>55.1</v>
      </c>
    </row>
    <row r="273" spans="1:42">
      <c r="A273" s="8" t="s">
        <v>598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4">
        <v>0</v>
      </c>
      <c r="AP273" s="68"/>
    </row>
    <row r="274" spans="1:42">
      <c r="A274" s="8" t="s">
        <v>192</v>
      </c>
      <c r="B274" s="2">
        <v>7.1800000000000003E-2</v>
      </c>
      <c r="C274" s="2">
        <v>0.112</v>
      </c>
      <c r="D274" s="2">
        <v>8.6999999999999994E-2</v>
      </c>
      <c r="E274" s="2">
        <v>0.17100000000000001</v>
      </c>
      <c r="F274" s="2">
        <v>0.33200000000000002</v>
      </c>
      <c r="G274" s="2">
        <v>6.0100000000000001E-2</v>
      </c>
      <c r="H274" s="2">
        <v>0.11700000000000001</v>
      </c>
      <c r="I274" s="2">
        <v>8.8800000000000004E-2</v>
      </c>
      <c r="J274" s="2">
        <v>0.13700000000000001</v>
      </c>
      <c r="K274" s="2">
        <v>0.14499999999999999</v>
      </c>
      <c r="L274" s="2">
        <v>0.14599999999999999</v>
      </c>
      <c r="M274" s="2">
        <v>0.11600000000000001</v>
      </c>
      <c r="N274" s="2">
        <v>8.4900000000000003E-2</v>
      </c>
      <c r="O274" s="2">
        <v>9.98E-2</v>
      </c>
      <c r="P274" s="2">
        <v>0.109</v>
      </c>
      <c r="Q274" s="2">
        <v>0.23100000000000001</v>
      </c>
      <c r="R274" s="2">
        <v>0.16200000000000001</v>
      </c>
      <c r="S274" s="2">
        <v>8.7499999999999994E-2</v>
      </c>
      <c r="T274" s="2">
        <v>6.5299999999999997E-2</v>
      </c>
      <c r="U274" s="2">
        <v>3.5900000000000001E-2</v>
      </c>
      <c r="V274" s="2">
        <v>6.2199999999999998E-2</v>
      </c>
      <c r="W274" s="2">
        <v>0.115</v>
      </c>
      <c r="X274" s="2">
        <v>9.2499999999999999E-2</v>
      </c>
      <c r="Y274" s="2">
        <v>0.14299999999999999</v>
      </c>
      <c r="Z274" s="2">
        <v>0.127</v>
      </c>
      <c r="AA274" s="5"/>
      <c r="AB274" s="2">
        <v>7.0499999999999993E-2</v>
      </c>
      <c r="AC274" s="2">
        <v>0.23200000000000001</v>
      </c>
      <c r="AD274" s="2">
        <v>0.17499999999999999</v>
      </c>
      <c r="AE274" s="2">
        <v>0.40100000000000002</v>
      </c>
      <c r="AF274" s="5"/>
      <c r="AG274" s="5"/>
      <c r="AH274" s="5"/>
      <c r="AI274" s="2">
        <v>8.8300000000000003E-2</v>
      </c>
      <c r="AJ274" s="2">
        <v>0.14699999999999999</v>
      </c>
      <c r="AK274" s="2">
        <v>0.26400000000000001</v>
      </c>
      <c r="AL274" s="2">
        <v>9.1499999999999998E-2</v>
      </c>
      <c r="AM274" s="5"/>
      <c r="AN274" s="2">
        <v>0.14799999999999999</v>
      </c>
      <c r="AO274" s="2">
        <v>8.2299999999999998E-2</v>
      </c>
      <c r="AP274" s="79">
        <v>55.6</v>
      </c>
    </row>
    <row r="275" spans="1:42">
      <c r="A275" s="8" t="s">
        <v>599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4">
        <v>0</v>
      </c>
      <c r="AP275" s="68"/>
    </row>
    <row r="276" spans="1:42">
      <c r="A276" s="8" t="s">
        <v>600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2">
        <v>3.0400000000000002E-3</v>
      </c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2">
        <v>0</v>
      </c>
      <c r="AP276" s="77"/>
    </row>
    <row r="277" spans="1:42">
      <c r="A277" s="8" t="s">
        <v>601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4">
        <v>5.9800000000000001E-3</v>
      </c>
      <c r="W277" s="4">
        <v>5.7800000000000004E-3</v>
      </c>
      <c r="X277" s="4">
        <v>5.6800000000000002E-3</v>
      </c>
      <c r="Y277" s="4">
        <v>6.9199999999999999E-3</v>
      </c>
      <c r="Z277" s="4">
        <v>8.0199999999999994E-3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4">
        <v>0</v>
      </c>
      <c r="AP277" s="68"/>
    </row>
    <row r="278" spans="1:42">
      <c r="A278" s="8" t="s">
        <v>602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2">
        <v>0</v>
      </c>
      <c r="AP278" s="77"/>
    </row>
    <row r="279" spans="1:42">
      <c r="A279" s="8" t="s">
        <v>193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>
        <v>1.4E-3</v>
      </c>
      <c r="V279" s="3"/>
      <c r="W279" s="4">
        <v>5.47E-3</v>
      </c>
      <c r="X279" s="3"/>
      <c r="Y279" s="3"/>
      <c r="Z279" s="3"/>
      <c r="AA279" s="3"/>
      <c r="AB279" s="3"/>
      <c r="AC279" s="3"/>
      <c r="AD279" s="4">
        <v>4.3600000000000002E-3</v>
      </c>
      <c r="AE279" s="3"/>
      <c r="AF279" s="3"/>
      <c r="AG279" s="3"/>
      <c r="AH279" s="3"/>
      <c r="AI279" s="3"/>
      <c r="AJ279" s="3"/>
      <c r="AK279" s="3"/>
      <c r="AL279" s="4">
        <v>7.6699999999999997E-3</v>
      </c>
      <c r="AM279" s="3"/>
      <c r="AN279" s="4">
        <v>7.6699999999999997E-3</v>
      </c>
      <c r="AO279" s="3"/>
      <c r="AP279" s="78">
        <v>0</v>
      </c>
    </row>
    <row r="280" spans="1:42">
      <c r="A280" s="8" t="s">
        <v>603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2">
        <v>0</v>
      </c>
      <c r="AP280" s="77"/>
    </row>
    <row r="281" spans="1:42">
      <c r="A281" s="8" t="s">
        <v>604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4">
        <v>0</v>
      </c>
      <c r="AP281" s="68"/>
    </row>
    <row r="282" spans="1:42">
      <c r="A282" s="8" t="s">
        <v>605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2">
        <v>0</v>
      </c>
      <c r="AP282" s="77"/>
    </row>
    <row r="283" spans="1:42">
      <c r="A283" s="8" t="s">
        <v>606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4">
        <v>2.2100000000000002E-3</v>
      </c>
      <c r="X283" s="3"/>
      <c r="Y283" s="3"/>
      <c r="Z283" s="3"/>
      <c r="AA283" s="3"/>
      <c r="AB283" s="4">
        <v>2.7799999999999999E-3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4">
        <v>0</v>
      </c>
      <c r="AP283" s="68"/>
    </row>
    <row r="284" spans="1:42">
      <c r="A284" s="8" t="s">
        <v>607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2">
        <v>0</v>
      </c>
      <c r="AP284" s="77"/>
    </row>
    <row r="285" spans="1:42">
      <c r="A285" s="8" t="s">
        <v>608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4">
        <v>0</v>
      </c>
      <c r="AP285" s="68"/>
    </row>
    <row r="286" spans="1:42">
      <c r="A286" s="8" t="s">
        <v>609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2">
        <v>0</v>
      </c>
      <c r="AP286" s="77"/>
    </row>
    <row r="287" spans="1:42">
      <c r="A287" s="8" t="s">
        <v>610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4">
        <v>0</v>
      </c>
      <c r="AP287" s="68"/>
    </row>
    <row r="288" spans="1:42">
      <c r="A288" s="8" t="s">
        <v>194</v>
      </c>
      <c r="B288" s="2">
        <v>3.3300000000000003E-2</v>
      </c>
      <c r="C288" s="2">
        <v>4.7100000000000003E-2</v>
      </c>
      <c r="D288" s="2">
        <v>3.9300000000000002E-2</v>
      </c>
      <c r="E288" s="2">
        <v>3.7499999999999999E-2</v>
      </c>
      <c r="F288" s="2">
        <v>6.2899999999999998E-2</v>
      </c>
      <c r="G288" s="2">
        <v>5.9299999999999999E-2</v>
      </c>
      <c r="H288" s="2">
        <v>5.28E-2</v>
      </c>
      <c r="I288" s="2">
        <v>5.62E-2</v>
      </c>
      <c r="J288" s="2">
        <v>3.61E-2</v>
      </c>
      <c r="K288" s="2">
        <v>2.3400000000000001E-2</v>
      </c>
      <c r="L288" s="2">
        <v>8.1799999999999998E-2</v>
      </c>
      <c r="M288" s="2">
        <v>2.2800000000000001E-2</v>
      </c>
      <c r="N288" s="2">
        <v>1.4800000000000001E-2</v>
      </c>
      <c r="O288" s="2">
        <v>1.83E-2</v>
      </c>
      <c r="P288" s="2">
        <v>3.6499999999999998E-2</v>
      </c>
      <c r="Q288" s="2">
        <v>1.2999999999999999E-2</v>
      </c>
      <c r="R288" s="2">
        <v>1.5299999999999999E-2</v>
      </c>
      <c r="S288" s="2">
        <v>7.7400000000000004E-3</v>
      </c>
      <c r="T288" s="5"/>
      <c r="U288" s="2">
        <v>0.107</v>
      </c>
      <c r="V288" s="2">
        <v>5.7499999999999999E-3</v>
      </c>
      <c r="W288" s="2">
        <v>2.9000000000000001E-2</v>
      </c>
      <c r="X288" s="2">
        <v>5.7000000000000002E-3</v>
      </c>
      <c r="Y288" s="2">
        <v>1.06E-2</v>
      </c>
      <c r="Z288" s="2">
        <v>3.7600000000000001E-2</v>
      </c>
      <c r="AA288" s="5"/>
      <c r="AB288" s="2">
        <v>3.9300000000000002E-2</v>
      </c>
      <c r="AC288" s="2">
        <v>2.3599999999999999E-2</v>
      </c>
      <c r="AD288" s="2">
        <v>2.3800000000000002E-2</v>
      </c>
      <c r="AE288" s="2">
        <v>1.7399999999999999E-2</v>
      </c>
      <c r="AF288" s="5"/>
      <c r="AG288" s="5"/>
      <c r="AH288" s="5"/>
      <c r="AI288" s="2">
        <v>3.7400000000000003E-2</v>
      </c>
      <c r="AJ288" s="2">
        <v>4.4200000000000003E-2</v>
      </c>
      <c r="AK288" s="2">
        <v>2.7199999999999998E-2</v>
      </c>
      <c r="AL288" s="2">
        <v>3.4700000000000002E-2</v>
      </c>
      <c r="AM288" s="5"/>
      <c r="AN288" s="2">
        <v>3.5900000000000001E-2</v>
      </c>
      <c r="AO288" s="2">
        <v>7.0600000000000003E-3</v>
      </c>
      <c r="AP288" s="79">
        <v>19.7</v>
      </c>
    </row>
    <row r="289" spans="1:42">
      <c r="A289" s="8" t="s">
        <v>611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4">
        <v>0</v>
      </c>
      <c r="AP289" s="68"/>
    </row>
    <row r="290" spans="1:42">
      <c r="A290" s="8" t="s">
        <v>612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2">
        <v>0</v>
      </c>
      <c r="AP290" s="77"/>
    </row>
    <row r="291" spans="1:42">
      <c r="A291" s="8" t="s">
        <v>195</v>
      </c>
      <c r="B291" s="3"/>
      <c r="C291" s="4">
        <v>4.3600000000000002E-3</v>
      </c>
      <c r="D291" s="3"/>
      <c r="E291" s="3"/>
      <c r="F291" s="3"/>
      <c r="G291" s="3"/>
      <c r="H291" s="3"/>
      <c r="I291" s="4">
        <v>1.81E-3</v>
      </c>
      <c r="J291" s="3"/>
      <c r="K291" s="3"/>
      <c r="L291" s="4">
        <v>3.29E-3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4">
        <v>2.33E-3</v>
      </c>
      <c r="X291" s="3"/>
      <c r="Y291" s="3"/>
      <c r="Z291" s="3"/>
      <c r="AA291" s="3"/>
      <c r="AB291" s="4">
        <v>2.8800000000000002E-3</v>
      </c>
      <c r="AC291" s="3"/>
      <c r="AD291" s="3"/>
      <c r="AE291" s="3"/>
      <c r="AF291" s="3"/>
      <c r="AG291" s="3"/>
      <c r="AH291" s="3"/>
      <c r="AI291" s="3"/>
      <c r="AJ291" s="4">
        <v>2.63E-3</v>
      </c>
      <c r="AK291" s="3"/>
      <c r="AL291" s="3"/>
      <c r="AM291" s="3"/>
      <c r="AN291" s="4">
        <v>2.63E-3</v>
      </c>
      <c r="AO291" s="3"/>
      <c r="AP291" s="78">
        <v>0</v>
      </c>
    </row>
    <row r="292" spans="1:42">
      <c r="A292" s="8" t="s">
        <v>196</v>
      </c>
      <c r="B292" s="5"/>
      <c r="C292" s="2">
        <v>2.2000000000000001E-3</v>
      </c>
      <c r="D292" s="5"/>
      <c r="E292" s="5"/>
      <c r="F292" s="5"/>
      <c r="G292" s="5"/>
      <c r="H292" s="5"/>
      <c r="I292" s="2">
        <v>8.3699999999999996E-4</v>
      </c>
      <c r="J292" s="5"/>
      <c r="K292" s="5"/>
      <c r="L292" s="2">
        <v>7.3200000000000001E-4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2">
        <v>1.89E-3</v>
      </c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2">
        <v>0</v>
      </c>
      <c r="AP292" s="77"/>
    </row>
    <row r="293" spans="1:42">
      <c r="A293" s="8" t="s">
        <v>613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4">
        <v>0</v>
      </c>
      <c r="AP293" s="68"/>
    </row>
    <row r="294" spans="1:42">
      <c r="A294" s="8" t="s">
        <v>197</v>
      </c>
      <c r="B294" s="5"/>
      <c r="C294" s="5"/>
      <c r="D294" s="5"/>
      <c r="E294" s="5"/>
      <c r="F294" s="2">
        <v>1.0500000000000001E-2</v>
      </c>
      <c r="G294" s="2">
        <v>7.9900000000000006E-3</v>
      </c>
      <c r="H294" s="2">
        <v>1.18E-2</v>
      </c>
      <c r="I294" s="2">
        <v>9.0699999999999999E-3</v>
      </c>
      <c r="J294" s="5"/>
      <c r="K294" s="5"/>
      <c r="L294" s="2">
        <v>1.03E-2</v>
      </c>
      <c r="M294" s="2">
        <v>7.5199999999999998E-3</v>
      </c>
      <c r="N294" s="5"/>
      <c r="O294" s="5"/>
      <c r="P294" s="2">
        <v>1.2E-2</v>
      </c>
      <c r="Q294" s="2">
        <v>5.2500000000000003E-3</v>
      </c>
      <c r="R294" s="2">
        <v>2.0799999999999999E-2</v>
      </c>
      <c r="S294" s="5"/>
      <c r="T294" s="5"/>
      <c r="U294" s="5"/>
      <c r="V294" s="5"/>
      <c r="W294" s="5"/>
      <c r="X294" s="5"/>
      <c r="Y294" s="5"/>
      <c r="Z294" s="5"/>
      <c r="AA294" s="5"/>
      <c r="AB294" s="2">
        <v>1.61E-2</v>
      </c>
      <c r="AC294" s="2">
        <v>2.8299999999999999E-2</v>
      </c>
      <c r="AD294" s="5"/>
      <c r="AE294" s="5"/>
      <c r="AF294" s="5"/>
      <c r="AG294" s="5"/>
      <c r="AH294" s="2">
        <v>5.4000000000000003E-3</v>
      </c>
      <c r="AI294" s="2">
        <v>1.21E-2</v>
      </c>
      <c r="AJ294" s="2">
        <v>1.26E-2</v>
      </c>
      <c r="AK294" s="2">
        <v>7.1399999999999996E-3</v>
      </c>
      <c r="AL294" s="5"/>
      <c r="AM294" s="5"/>
      <c r="AN294" s="2">
        <v>9.3100000000000006E-3</v>
      </c>
      <c r="AO294" s="2">
        <v>3.5899999999999999E-3</v>
      </c>
      <c r="AP294" s="79">
        <v>38.6</v>
      </c>
    </row>
    <row r="295" spans="1:42">
      <c r="A295" s="8" t="s">
        <v>614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4">
        <v>0</v>
      </c>
      <c r="AP295" s="68"/>
    </row>
    <row r="296" spans="1:42">
      <c r="A296" s="8" t="s">
        <v>198</v>
      </c>
      <c r="B296" s="2">
        <v>5.4699999999999999E-2</v>
      </c>
      <c r="C296" s="2">
        <v>0.13600000000000001</v>
      </c>
      <c r="D296" s="2">
        <v>0.128</v>
      </c>
      <c r="E296" s="2">
        <v>0.191</v>
      </c>
      <c r="F296" s="2">
        <v>0.76900000000000002</v>
      </c>
      <c r="G296" s="2">
        <v>5.28E-2</v>
      </c>
      <c r="H296" s="2">
        <v>0.17899999999999999</v>
      </c>
      <c r="I296" s="2">
        <v>0.104</v>
      </c>
      <c r="J296" s="2">
        <v>0.27700000000000002</v>
      </c>
      <c r="K296" s="2">
        <v>0.28599999999999998</v>
      </c>
      <c r="L296" s="2">
        <v>0.27300000000000002</v>
      </c>
      <c r="M296" s="2">
        <v>7.8700000000000006E-2</v>
      </c>
      <c r="N296" s="2">
        <v>8.3699999999999997E-2</v>
      </c>
      <c r="O296" s="2">
        <v>0.182</v>
      </c>
      <c r="P296" s="2">
        <v>0.224</v>
      </c>
      <c r="Q296" s="2">
        <v>0.19700000000000001</v>
      </c>
      <c r="R296" s="2">
        <v>0.188</v>
      </c>
      <c r="S296" s="2">
        <v>7.5600000000000001E-2</v>
      </c>
      <c r="T296" s="2">
        <v>5.3100000000000001E-2</v>
      </c>
      <c r="U296" s="2">
        <v>6.0999999999999999E-2</v>
      </c>
      <c r="V296" s="2">
        <v>0.11700000000000001</v>
      </c>
      <c r="W296" s="2">
        <v>0.20699999999999999</v>
      </c>
      <c r="X296" s="2">
        <v>0.111</v>
      </c>
      <c r="Y296" s="2">
        <v>0.26600000000000001</v>
      </c>
      <c r="Z296" s="2">
        <v>0.14000000000000001</v>
      </c>
      <c r="AA296" s="5"/>
      <c r="AB296" s="2">
        <v>0.115</v>
      </c>
      <c r="AC296" s="2">
        <v>0.32800000000000001</v>
      </c>
      <c r="AD296" s="2">
        <v>0.107</v>
      </c>
      <c r="AE296" s="2">
        <v>0.61</v>
      </c>
      <c r="AF296" s="5"/>
      <c r="AG296" s="5"/>
      <c r="AH296" s="5"/>
      <c r="AI296" s="2">
        <v>8.7599999999999997E-2</v>
      </c>
      <c r="AJ296" s="2">
        <v>0.26500000000000001</v>
      </c>
      <c r="AK296" s="2">
        <v>0.45100000000000001</v>
      </c>
      <c r="AL296" s="2">
        <v>8.48E-2</v>
      </c>
      <c r="AM296" s="5"/>
      <c r="AN296" s="2">
        <v>0.222</v>
      </c>
      <c r="AO296" s="2">
        <v>0.17399999999999999</v>
      </c>
      <c r="AP296" s="79">
        <v>78.5</v>
      </c>
    </row>
    <row r="297" spans="1:42">
      <c r="A297" s="8" t="s">
        <v>615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4">
        <v>0</v>
      </c>
      <c r="AP297" s="68"/>
    </row>
    <row r="298" spans="1:42">
      <c r="A298" s="8" t="s">
        <v>616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2">
        <v>0</v>
      </c>
      <c r="AP298" s="77"/>
    </row>
    <row r="299" spans="1:42">
      <c r="A299" s="8" t="s">
        <v>617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4">
        <v>2.3400000000000001E-3</v>
      </c>
      <c r="X299" s="3"/>
      <c r="Y299" s="3"/>
      <c r="Z299" s="3"/>
      <c r="AA299" s="3"/>
      <c r="AB299" s="4">
        <v>3.7399999999999998E-3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4">
        <v>0</v>
      </c>
      <c r="AP299" s="68"/>
    </row>
    <row r="300" spans="1:42">
      <c r="A300" s="8" t="s">
        <v>199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2">
        <v>4.9699999999999996E-3</v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2">
        <v>3.3999999999999998E-3</v>
      </c>
      <c r="X300" s="5"/>
      <c r="Y300" s="5"/>
      <c r="Z300" s="5"/>
      <c r="AA300" s="5"/>
      <c r="AB300" s="2">
        <v>4.0800000000000003E-3</v>
      </c>
      <c r="AC300" s="5"/>
      <c r="AD300" s="5"/>
      <c r="AE300" s="5"/>
      <c r="AF300" s="5"/>
      <c r="AG300" s="5"/>
      <c r="AH300" s="5"/>
      <c r="AI300" s="5"/>
      <c r="AJ300" s="2">
        <v>6.0499999999999998E-3</v>
      </c>
      <c r="AK300" s="5"/>
      <c r="AL300" s="5"/>
      <c r="AM300" s="5"/>
      <c r="AN300" s="2">
        <v>6.0499999999999998E-3</v>
      </c>
      <c r="AO300" s="5"/>
      <c r="AP300" s="79">
        <v>0</v>
      </c>
    </row>
    <row r="301" spans="1:42">
      <c r="A301" s="8" t="s">
        <v>618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4">
        <v>1.9499999999999999E-3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4">
        <v>0</v>
      </c>
      <c r="AP301" s="68"/>
    </row>
    <row r="302" spans="1:42">
      <c r="A302" s="8" t="s">
        <v>200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2">
        <v>1.98E-3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2">
        <v>2.48E-3</v>
      </c>
      <c r="X302" s="5"/>
      <c r="Y302" s="5"/>
      <c r="Z302" s="5"/>
      <c r="AA302" s="5"/>
      <c r="AB302" s="2">
        <v>2.4299999999999999E-3</v>
      </c>
      <c r="AC302" s="5"/>
      <c r="AD302" s="5"/>
      <c r="AE302" s="5"/>
      <c r="AF302" s="5"/>
      <c r="AG302" s="5"/>
      <c r="AH302" s="5"/>
      <c r="AI302" s="5"/>
      <c r="AJ302" s="2">
        <v>1.6999999999999999E-3</v>
      </c>
      <c r="AK302" s="5"/>
      <c r="AL302" s="5"/>
      <c r="AM302" s="5"/>
      <c r="AN302" s="2">
        <v>1.6999999999999999E-3</v>
      </c>
      <c r="AO302" s="5"/>
      <c r="AP302" s="79">
        <v>0</v>
      </c>
    </row>
    <row r="303" spans="1:42">
      <c r="A303" s="8" t="s">
        <v>201</v>
      </c>
      <c r="B303" s="3"/>
      <c r="C303" s="4">
        <v>6.8100000000000001E-3</v>
      </c>
      <c r="D303" s="3"/>
      <c r="E303" s="3"/>
      <c r="F303" s="3"/>
      <c r="G303" s="3"/>
      <c r="H303" s="4">
        <v>5.3600000000000002E-3</v>
      </c>
      <c r="I303" s="4">
        <v>3.14E-3</v>
      </c>
      <c r="J303" s="3"/>
      <c r="K303" s="3"/>
      <c r="L303" s="4">
        <v>6.1700000000000001E-3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4">
        <v>5.2900000000000004E-3</v>
      </c>
      <c r="X303" s="3"/>
      <c r="Y303" s="3"/>
      <c r="Z303" s="3"/>
      <c r="AA303" s="3"/>
      <c r="AB303" s="4">
        <v>8.9200000000000008E-3</v>
      </c>
      <c r="AC303" s="4">
        <v>5.47E-3</v>
      </c>
      <c r="AD303" s="3"/>
      <c r="AE303" s="3"/>
      <c r="AF303" s="3"/>
      <c r="AG303" s="3"/>
      <c r="AH303" s="3"/>
      <c r="AI303" s="3"/>
      <c r="AJ303" s="4">
        <v>5.5999999999999999E-3</v>
      </c>
      <c r="AK303" s="3"/>
      <c r="AL303" s="3"/>
      <c r="AM303" s="3"/>
      <c r="AN303" s="4">
        <v>5.5999999999999999E-3</v>
      </c>
      <c r="AO303" s="3"/>
      <c r="AP303" s="78">
        <v>0</v>
      </c>
    </row>
    <row r="304" spans="1:42">
      <c r="A304" s="8" t="s">
        <v>202</v>
      </c>
      <c r="B304" s="5"/>
      <c r="C304" s="2">
        <v>4.1099999999999999E-3</v>
      </c>
      <c r="D304" s="2">
        <v>2.7399999999999998E-3</v>
      </c>
      <c r="E304" s="5"/>
      <c r="F304" s="5"/>
      <c r="G304" s="5"/>
      <c r="H304" s="5"/>
      <c r="I304" s="2">
        <v>1.6999999999999999E-3</v>
      </c>
      <c r="J304" s="5"/>
      <c r="K304" s="5"/>
      <c r="L304" s="2">
        <v>1.7600000000000001E-3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2">
        <v>0</v>
      </c>
      <c r="AP304" s="77"/>
    </row>
    <row r="305" spans="1:42">
      <c r="A305" s="8" t="s">
        <v>203</v>
      </c>
      <c r="B305" s="3"/>
      <c r="C305" s="3"/>
      <c r="D305" s="4">
        <v>1.6899999999999998E-2</v>
      </c>
      <c r="E305" s="3"/>
      <c r="F305" s="3"/>
      <c r="G305" s="3"/>
      <c r="H305" s="4">
        <v>1.2699999999999999E-2</v>
      </c>
      <c r="I305" s="4">
        <v>1.41E-2</v>
      </c>
      <c r="J305" s="3"/>
      <c r="K305" s="3"/>
      <c r="L305" s="4">
        <v>8.5900000000000004E-3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4">
        <v>1.1299999999999999E-2</v>
      </c>
      <c r="AC305" s="3"/>
      <c r="AD305" s="3"/>
      <c r="AE305" s="3"/>
      <c r="AF305" s="3"/>
      <c r="AG305" s="3"/>
      <c r="AH305" s="3"/>
      <c r="AI305" s="3"/>
      <c r="AJ305" s="4">
        <v>6.2599999999999999E-3</v>
      </c>
      <c r="AK305" s="3"/>
      <c r="AL305" s="3"/>
      <c r="AM305" s="3"/>
      <c r="AN305" s="4">
        <v>6.2599999999999999E-3</v>
      </c>
      <c r="AO305" s="3"/>
      <c r="AP305" s="78">
        <v>0</v>
      </c>
    </row>
    <row r="306" spans="1:42">
      <c r="A306" s="8" t="s">
        <v>619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2">
        <v>0</v>
      </c>
      <c r="AP306" s="77"/>
    </row>
    <row r="307" spans="1:42">
      <c r="A307" s="8" t="s">
        <v>204</v>
      </c>
      <c r="B307" s="3"/>
      <c r="C307" s="4">
        <v>4.0499999999999998E-3</v>
      </c>
      <c r="D307" s="4">
        <v>3.0799999999999998E-3</v>
      </c>
      <c r="E307" s="3"/>
      <c r="F307" s="3"/>
      <c r="G307" s="3"/>
      <c r="H307" s="3"/>
      <c r="I307" s="3"/>
      <c r="J307" s="3"/>
      <c r="K307" s="3"/>
      <c r="L307" s="4">
        <v>3.5000000000000001E-3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4">
        <v>3.0799999999999998E-3</v>
      </c>
      <c r="X307" s="3"/>
      <c r="Y307" s="3"/>
      <c r="Z307" s="3"/>
      <c r="AA307" s="3"/>
      <c r="AB307" s="4">
        <v>3.7699999999999999E-3</v>
      </c>
      <c r="AC307" s="4">
        <v>2.5400000000000002E-3</v>
      </c>
      <c r="AD307" s="3"/>
      <c r="AE307" s="3"/>
      <c r="AF307" s="3"/>
      <c r="AG307" s="3"/>
      <c r="AH307" s="3"/>
      <c r="AI307" s="3"/>
      <c r="AJ307" s="4">
        <v>2.5799999999999998E-3</v>
      </c>
      <c r="AK307" s="3"/>
      <c r="AL307" s="3"/>
      <c r="AM307" s="3"/>
      <c r="AN307" s="4">
        <v>2.5799999999999998E-3</v>
      </c>
      <c r="AO307" s="3"/>
      <c r="AP307" s="78">
        <v>0</v>
      </c>
    </row>
    <row r="308" spans="1:42">
      <c r="A308" s="8" t="s">
        <v>205</v>
      </c>
      <c r="B308" s="5"/>
      <c r="C308" s="2">
        <v>1.7899999999999999E-2</v>
      </c>
      <c r="D308" s="2">
        <v>1.2999999999999999E-2</v>
      </c>
      <c r="E308" s="5"/>
      <c r="F308" s="5"/>
      <c r="G308" s="5"/>
      <c r="H308" s="2">
        <v>8.8900000000000003E-3</v>
      </c>
      <c r="I308" s="2">
        <v>9.9399999999999992E-3</v>
      </c>
      <c r="J308" s="5"/>
      <c r="K308" s="5"/>
      <c r="L308" s="2">
        <v>1.29E-2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2">
        <v>3.0999999999999999E-3</v>
      </c>
      <c r="X308" s="5"/>
      <c r="Y308" s="5"/>
      <c r="Z308" s="5"/>
      <c r="AA308" s="5"/>
      <c r="AB308" s="2">
        <v>6.4799999999999996E-3</v>
      </c>
      <c r="AC308" s="2">
        <v>3.4299999999999999E-3</v>
      </c>
      <c r="AD308" s="2">
        <v>1.8699999999999999E-3</v>
      </c>
      <c r="AE308" s="5"/>
      <c r="AF308" s="5"/>
      <c r="AG308" s="5"/>
      <c r="AH308" s="5"/>
      <c r="AI308" s="5"/>
      <c r="AJ308" s="2">
        <v>8.7200000000000003E-3</v>
      </c>
      <c r="AK308" s="5"/>
      <c r="AL308" s="5"/>
      <c r="AM308" s="5"/>
      <c r="AN308" s="2">
        <v>8.7200000000000003E-3</v>
      </c>
      <c r="AO308" s="5"/>
      <c r="AP308" s="79">
        <v>0</v>
      </c>
    </row>
    <row r="309" spans="1:42">
      <c r="A309" s="8" t="s">
        <v>206</v>
      </c>
      <c r="B309" s="3"/>
      <c r="C309" s="3"/>
      <c r="D309" s="3"/>
      <c r="E309" s="4">
        <v>0.115</v>
      </c>
      <c r="F309" s="4">
        <v>0.21099999999999999</v>
      </c>
      <c r="G309" s="4">
        <v>7.8799999999999995E-2</v>
      </c>
      <c r="H309" s="3"/>
      <c r="I309" s="3"/>
      <c r="J309" s="3"/>
      <c r="K309" s="4">
        <v>9.6600000000000005E-2</v>
      </c>
      <c r="L309" s="3"/>
      <c r="M309" s="3"/>
      <c r="N309" s="3"/>
      <c r="O309" s="3"/>
      <c r="P309" s="3"/>
      <c r="Q309" s="4">
        <v>0.14299999999999999</v>
      </c>
      <c r="R309" s="4">
        <v>0.17299999999999999</v>
      </c>
      <c r="S309" s="3"/>
      <c r="T309" s="3"/>
      <c r="U309" s="3"/>
      <c r="V309" s="3"/>
      <c r="W309" s="3"/>
      <c r="X309" s="3"/>
      <c r="Y309" s="3"/>
      <c r="Z309" s="3"/>
      <c r="AA309" s="3"/>
      <c r="AB309" s="4">
        <v>0.14299999999999999</v>
      </c>
      <c r="AC309" s="4">
        <v>0.19600000000000001</v>
      </c>
      <c r="AD309" s="4">
        <v>0.13400000000000001</v>
      </c>
      <c r="AE309" s="4">
        <v>0.17</v>
      </c>
      <c r="AF309" s="3"/>
      <c r="AG309" s="3"/>
      <c r="AH309" s="3"/>
      <c r="AI309" s="3"/>
      <c r="AJ309" s="3"/>
      <c r="AK309" s="4">
        <v>0.14499999999999999</v>
      </c>
      <c r="AL309" s="4">
        <v>0.115</v>
      </c>
      <c r="AM309" s="3"/>
      <c r="AN309" s="4">
        <v>0.13</v>
      </c>
      <c r="AO309" s="4">
        <v>2.1499999999999998E-2</v>
      </c>
      <c r="AP309" s="78">
        <v>16.5</v>
      </c>
    </row>
    <row r="310" spans="1:42">
      <c r="A310" s="8" t="s">
        <v>207</v>
      </c>
      <c r="B310" s="2">
        <v>6.5799999999999999E-3</v>
      </c>
      <c r="C310" s="2">
        <v>3.1300000000000001E-2</v>
      </c>
      <c r="D310" s="2">
        <v>2.98E-2</v>
      </c>
      <c r="E310" s="5"/>
      <c r="F310" s="5"/>
      <c r="G310" s="5"/>
      <c r="H310" s="2">
        <v>2.53E-2</v>
      </c>
      <c r="I310" s="2">
        <v>1.5800000000000002E-2</v>
      </c>
      <c r="J310" s="2">
        <v>2.64E-2</v>
      </c>
      <c r="K310" s="5"/>
      <c r="L310" s="2">
        <v>4.1599999999999998E-2</v>
      </c>
      <c r="M310" s="5"/>
      <c r="N310" s="2">
        <v>1.14E-2</v>
      </c>
      <c r="O310" s="2">
        <v>2.9000000000000001E-2</v>
      </c>
      <c r="P310" s="2">
        <v>3.3700000000000001E-2</v>
      </c>
      <c r="Q310" s="5"/>
      <c r="R310" s="5"/>
      <c r="S310" s="5"/>
      <c r="T310" s="2">
        <v>4.7899999999999998E-2</v>
      </c>
      <c r="U310" s="5"/>
      <c r="V310" s="5"/>
      <c r="W310" s="2">
        <v>1.21E-2</v>
      </c>
      <c r="X310" s="2">
        <v>0.11799999999999999</v>
      </c>
      <c r="Y310" s="2">
        <v>3.4000000000000002E-2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2">
        <v>3.3099999999999997E-2</v>
      </c>
      <c r="AK310" s="5"/>
      <c r="AL310" s="5"/>
      <c r="AM310" s="5"/>
      <c r="AN310" s="2">
        <v>3.3099999999999997E-2</v>
      </c>
      <c r="AO310" s="5"/>
      <c r="AP310" s="79">
        <v>0</v>
      </c>
    </row>
    <row r="311" spans="1:42">
      <c r="A311" s="8" t="s">
        <v>208</v>
      </c>
      <c r="B311" s="4">
        <v>8.3900000000000002E-2</v>
      </c>
      <c r="C311" s="4">
        <v>8.5800000000000001E-2</v>
      </c>
      <c r="D311" s="4">
        <v>5.4600000000000003E-2</v>
      </c>
      <c r="E311" s="3"/>
      <c r="F311" s="3"/>
      <c r="G311" s="3"/>
      <c r="H311" s="4">
        <v>0.107</v>
      </c>
      <c r="I311" s="4">
        <v>8.9700000000000002E-2</v>
      </c>
      <c r="J311" s="4">
        <v>9.6699999999999994E-2</v>
      </c>
      <c r="K311" s="3"/>
      <c r="L311" s="4">
        <v>0.113</v>
      </c>
      <c r="M311" s="4">
        <v>0.127</v>
      </c>
      <c r="N311" s="4">
        <v>6.7900000000000002E-2</v>
      </c>
      <c r="O311" s="4">
        <v>0.123</v>
      </c>
      <c r="P311" s="4">
        <v>0.104</v>
      </c>
      <c r="Q311" s="3"/>
      <c r="R311" s="3"/>
      <c r="S311" s="4">
        <v>0.114</v>
      </c>
      <c r="T311" s="4">
        <v>6.8199999999999997E-2</v>
      </c>
      <c r="U311" s="4">
        <v>8.3000000000000004E-2</v>
      </c>
      <c r="V311" s="4">
        <v>0.124</v>
      </c>
      <c r="W311" s="4">
        <v>0.14799999999999999</v>
      </c>
      <c r="X311" s="3"/>
      <c r="Y311" s="4">
        <v>0.11899999999999999</v>
      </c>
      <c r="Z311" s="4">
        <v>0.11700000000000001</v>
      </c>
      <c r="AA311" s="3"/>
      <c r="AB311" s="3"/>
      <c r="AC311" s="3"/>
      <c r="AD311" s="3"/>
      <c r="AE311" s="3"/>
      <c r="AF311" s="3"/>
      <c r="AG311" s="3"/>
      <c r="AH311" s="3"/>
      <c r="AI311" s="4">
        <v>0.107</v>
      </c>
      <c r="AJ311" s="4">
        <v>0.12</v>
      </c>
      <c r="AK311" s="3"/>
      <c r="AL311" s="3"/>
      <c r="AM311" s="3"/>
      <c r="AN311" s="4">
        <v>0.114</v>
      </c>
      <c r="AO311" s="4">
        <v>9.0399999999999994E-3</v>
      </c>
      <c r="AP311" s="78">
        <v>7.96</v>
      </c>
    </row>
    <row r="312" spans="1:42">
      <c r="A312" s="8" t="s">
        <v>620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2">
        <v>0</v>
      </c>
      <c r="AP312" s="77"/>
    </row>
    <row r="313" spans="1:42">
      <c r="A313" s="8" t="s">
        <v>621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4">
        <v>1.97E-3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4">
        <v>0</v>
      </c>
      <c r="AP313" s="68"/>
    </row>
    <row r="314" spans="1:42">
      <c r="A314" s="8" t="s">
        <v>209</v>
      </c>
      <c r="B314" s="2">
        <v>8.1799999999999998E-2</v>
      </c>
      <c r="C314" s="2">
        <v>8.2100000000000006E-2</v>
      </c>
      <c r="D314" s="2">
        <v>4.82E-2</v>
      </c>
      <c r="E314" s="2">
        <v>7.1800000000000003E-2</v>
      </c>
      <c r="F314" s="2">
        <v>0.13100000000000001</v>
      </c>
      <c r="G314" s="2">
        <v>5.0200000000000002E-2</v>
      </c>
      <c r="H314" s="2">
        <v>0.104</v>
      </c>
      <c r="I314" s="2">
        <v>9.4E-2</v>
      </c>
      <c r="J314" s="2">
        <v>0.10199999999999999</v>
      </c>
      <c r="K314" s="2">
        <v>0.16500000000000001</v>
      </c>
      <c r="L314" s="2">
        <v>0.105</v>
      </c>
      <c r="M314" s="2">
        <v>0.111</v>
      </c>
      <c r="N314" s="2">
        <v>7.5800000000000006E-2</v>
      </c>
      <c r="O314" s="2">
        <v>4.8800000000000003E-2</v>
      </c>
      <c r="P314" s="2">
        <v>8.4000000000000005E-2</v>
      </c>
      <c r="Q314" s="2">
        <v>0.17899999999999999</v>
      </c>
      <c r="R314" s="2">
        <v>0.13200000000000001</v>
      </c>
      <c r="S314" s="2">
        <v>0.107</v>
      </c>
      <c r="T314" s="2">
        <v>0.20699999999999999</v>
      </c>
      <c r="U314" s="2">
        <v>7.5700000000000003E-2</v>
      </c>
      <c r="V314" s="2">
        <v>0.13400000000000001</v>
      </c>
      <c r="W314" s="2">
        <v>0.11799999999999999</v>
      </c>
      <c r="X314" s="2">
        <v>8.3699999999999997E-2</v>
      </c>
      <c r="Y314" s="2">
        <v>0.109</v>
      </c>
      <c r="Z314" s="2">
        <v>0.11700000000000001</v>
      </c>
      <c r="AA314" s="5"/>
      <c r="AB314" s="2">
        <v>5.8900000000000001E-2</v>
      </c>
      <c r="AC314" s="2">
        <v>0.16300000000000001</v>
      </c>
      <c r="AD314" s="2">
        <v>0.10100000000000001</v>
      </c>
      <c r="AE314" s="2">
        <v>0.22700000000000001</v>
      </c>
      <c r="AF314" s="5"/>
      <c r="AG314" s="5"/>
      <c r="AH314" s="2">
        <v>7.3800000000000004E-2</v>
      </c>
      <c r="AI314" s="2">
        <v>8.3400000000000002E-2</v>
      </c>
      <c r="AJ314" s="2">
        <v>0.10299999999999999</v>
      </c>
      <c r="AK314" s="2">
        <v>0.216</v>
      </c>
      <c r="AL314" s="2">
        <v>8.43E-2</v>
      </c>
      <c r="AM314" s="5"/>
      <c r="AN314" s="2">
        <v>0.112</v>
      </c>
      <c r="AO314" s="2">
        <v>5.8900000000000001E-2</v>
      </c>
      <c r="AP314" s="79">
        <v>52.6</v>
      </c>
    </row>
    <row r="315" spans="1:42">
      <c r="A315" s="8" t="s">
        <v>622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4">
        <v>0</v>
      </c>
      <c r="AP315" s="68"/>
    </row>
    <row r="316" spans="1:42">
      <c r="A316" s="8" t="s">
        <v>623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2">
        <v>0</v>
      </c>
      <c r="AP316" s="77"/>
    </row>
    <row r="317" spans="1:42">
      <c r="A317" s="8" t="s">
        <v>624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4">
        <v>0</v>
      </c>
      <c r="AP317" s="68"/>
    </row>
    <row r="318" spans="1:42">
      <c r="A318" s="8" t="s">
        <v>625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2">
        <v>0</v>
      </c>
      <c r="AP318" s="77"/>
    </row>
    <row r="319" spans="1:42">
      <c r="A319" s="8" t="s">
        <v>210</v>
      </c>
      <c r="B319" s="4">
        <v>8.8300000000000003E-2</v>
      </c>
      <c r="C319" s="4">
        <v>5.8200000000000002E-2</v>
      </c>
      <c r="D319" s="4">
        <v>3.4099999999999998E-2</v>
      </c>
      <c r="E319" s="4">
        <v>3.8100000000000002E-2</v>
      </c>
      <c r="F319" s="4">
        <v>8.5099999999999995E-2</v>
      </c>
      <c r="G319" s="4">
        <v>9.64E-2</v>
      </c>
      <c r="H319" s="4">
        <v>9.3799999999999994E-2</v>
      </c>
      <c r="I319" s="4">
        <v>6.7199999999999996E-2</v>
      </c>
      <c r="J319" s="4">
        <v>9.6600000000000005E-2</v>
      </c>
      <c r="K319" s="4">
        <v>3.5400000000000001E-2</v>
      </c>
      <c r="L319" s="4">
        <v>0.115</v>
      </c>
      <c r="M319" s="4">
        <v>0.13300000000000001</v>
      </c>
      <c r="N319" s="4">
        <v>5.9299999999999999E-2</v>
      </c>
      <c r="O319" s="4">
        <v>9.1300000000000006E-2</v>
      </c>
      <c r="P319" s="4">
        <v>0.114</v>
      </c>
      <c r="Q319" s="4">
        <v>5.3600000000000002E-2</v>
      </c>
      <c r="R319" s="4">
        <v>0.155</v>
      </c>
      <c r="S319" s="4">
        <v>7.5499999999999998E-2</v>
      </c>
      <c r="T319" s="4">
        <v>6.3899999999999998E-2</v>
      </c>
      <c r="U319" s="4">
        <v>7.0400000000000004E-2</v>
      </c>
      <c r="V319" s="4">
        <v>0.13200000000000001</v>
      </c>
      <c r="W319" s="4">
        <v>0.16300000000000001</v>
      </c>
      <c r="X319" s="4">
        <v>0.112</v>
      </c>
      <c r="Y319" s="4">
        <v>0.17</v>
      </c>
      <c r="Z319" s="4">
        <v>0.112</v>
      </c>
      <c r="AA319" s="3"/>
      <c r="AB319" s="4">
        <v>0.128</v>
      </c>
      <c r="AC319" s="4">
        <v>0.19500000000000001</v>
      </c>
      <c r="AD319" s="4">
        <v>0.11</v>
      </c>
      <c r="AE319" s="4">
        <v>4.8399999999999999E-2</v>
      </c>
      <c r="AF319" s="3"/>
      <c r="AG319" s="3"/>
      <c r="AH319" s="4">
        <v>7.4300000000000005E-2</v>
      </c>
      <c r="AI319" s="4">
        <v>9.3899999999999997E-2</v>
      </c>
      <c r="AJ319" s="4">
        <v>0.12</v>
      </c>
      <c r="AK319" s="4">
        <v>8.9599999999999999E-2</v>
      </c>
      <c r="AL319" s="4">
        <v>0.109</v>
      </c>
      <c r="AM319" s="3"/>
      <c r="AN319" s="4">
        <v>9.7199999999999995E-2</v>
      </c>
      <c r="AO319" s="4">
        <v>1.7500000000000002E-2</v>
      </c>
      <c r="AP319" s="78">
        <v>18</v>
      </c>
    </row>
    <row r="320" spans="1:42">
      <c r="A320" s="8" t="s">
        <v>211</v>
      </c>
      <c r="B320" s="2">
        <v>0.192</v>
      </c>
      <c r="C320" s="2">
        <v>0.17299999999999999</v>
      </c>
      <c r="D320" s="2">
        <v>9.4E-2</v>
      </c>
      <c r="E320" s="2">
        <v>0.28899999999999998</v>
      </c>
      <c r="F320" s="2">
        <v>0.58799999999999997</v>
      </c>
      <c r="G320" s="2">
        <v>0.155</v>
      </c>
      <c r="H320" s="2">
        <v>0.30199999999999999</v>
      </c>
      <c r="I320" s="2">
        <v>0.24299999999999999</v>
      </c>
      <c r="J320" s="2">
        <v>0.32200000000000001</v>
      </c>
      <c r="K320" s="2">
        <v>0.44800000000000001</v>
      </c>
      <c r="L320" s="2">
        <v>0.32300000000000001</v>
      </c>
      <c r="M320" s="2">
        <v>0.23899999999999999</v>
      </c>
      <c r="N320" s="2">
        <v>0.19</v>
      </c>
      <c r="O320" s="2">
        <v>0.20399999999999999</v>
      </c>
      <c r="P320" s="2">
        <v>0.26600000000000001</v>
      </c>
      <c r="Q320" s="2">
        <v>0.36</v>
      </c>
      <c r="R320" s="2">
        <v>0.434</v>
      </c>
      <c r="S320" s="2">
        <v>0.24</v>
      </c>
      <c r="T320" s="2">
        <v>0.36399999999999999</v>
      </c>
      <c r="U320" s="2">
        <v>0.20300000000000001</v>
      </c>
      <c r="V320" s="2">
        <v>0.318</v>
      </c>
      <c r="W320" s="2">
        <v>0.371</v>
      </c>
      <c r="X320" s="2">
        <v>0.28799999999999998</v>
      </c>
      <c r="Y320" s="2">
        <v>0.36399999999999999</v>
      </c>
      <c r="Z320" s="2">
        <v>0.372</v>
      </c>
      <c r="AA320" s="5"/>
      <c r="AB320" s="2">
        <v>0.16800000000000001</v>
      </c>
      <c r="AC320" s="2">
        <v>0.46600000000000003</v>
      </c>
      <c r="AD320" s="2">
        <v>0.34799999999999998</v>
      </c>
      <c r="AE320" s="2">
        <v>0.78200000000000003</v>
      </c>
      <c r="AF320" s="5"/>
      <c r="AG320" s="5"/>
      <c r="AH320" s="2">
        <v>0.24099999999999999</v>
      </c>
      <c r="AI320" s="2">
        <v>0.23100000000000001</v>
      </c>
      <c r="AJ320" s="2">
        <v>0.33700000000000002</v>
      </c>
      <c r="AK320" s="2">
        <v>0.57899999999999996</v>
      </c>
      <c r="AL320" s="2">
        <v>0.255</v>
      </c>
      <c r="AM320" s="5"/>
      <c r="AN320" s="2">
        <v>0.32900000000000001</v>
      </c>
      <c r="AO320" s="2">
        <v>0.14599999999999999</v>
      </c>
      <c r="AP320" s="79">
        <v>44.4</v>
      </c>
    </row>
    <row r="321" spans="1:42">
      <c r="A321" s="8" t="s">
        <v>626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4">
        <v>0</v>
      </c>
      <c r="AP321" s="68"/>
    </row>
    <row r="322" spans="1:42">
      <c r="A322" s="8" t="s">
        <v>627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2">
        <v>2.49E-3</v>
      </c>
      <c r="X322" s="5"/>
      <c r="Y322" s="5"/>
      <c r="Z322" s="5"/>
      <c r="AA322" s="5"/>
      <c r="AB322" s="2">
        <v>2.5600000000000002E-3</v>
      </c>
      <c r="AC322" s="2">
        <v>1.0399999999999999E-3</v>
      </c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2">
        <v>0</v>
      </c>
      <c r="AP322" s="77"/>
    </row>
    <row r="323" spans="1:42">
      <c r="A323" s="8" t="s">
        <v>628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4">
        <v>0</v>
      </c>
      <c r="AP323" s="68"/>
    </row>
    <row r="324" spans="1:42">
      <c r="A324" s="8" t="s">
        <v>212</v>
      </c>
      <c r="B324" s="2">
        <v>0.126</v>
      </c>
      <c r="C324" s="2">
        <v>7.0999999999999994E-2</v>
      </c>
      <c r="D324" s="2">
        <v>9.4399999999999998E-2</v>
      </c>
      <c r="E324" s="2">
        <v>0.21</v>
      </c>
      <c r="F324" s="2">
        <v>0.16800000000000001</v>
      </c>
      <c r="G324" s="2">
        <v>0.12</v>
      </c>
      <c r="H324" s="2">
        <v>7.5300000000000006E-2</v>
      </c>
      <c r="I324" s="2">
        <v>6.6600000000000006E-2</v>
      </c>
      <c r="J324" s="2">
        <v>4.36E-2</v>
      </c>
      <c r="K324" s="2">
        <v>0.13800000000000001</v>
      </c>
      <c r="L324" s="2">
        <v>8.3500000000000005E-2</v>
      </c>
      <c r="M324" s="2">
        <v>0.16600000000000001</v>
      </c>
      <c r="N324" s="2">
        <v>0.11700000000000001</v>
      </c>
      <c r="O324" s="2">
        <v>8.3799999999999999E-2</v>
      </c>
      <c r="P324" s="2">
        <v>0.16400000000000001</v>
      </c>
      <c r="Q324" s="2">
        <v>0.18</v>
      </c>
      <c r="R324" s="2">
        <v>0.14199999999999999</v>
      </c>
      <c r="S324" s="2">
        <v>6.13E-2</v>
      </c>
      <c r="T324" s="2">
        <v>5.4599999999999996E-3</v>
      </c>
      <c r="U324" s="2">
        <v>3.6999999999999998E-2</v>
      </c>
      <c r="V324" s="2">
        <v>9.0300000000000005E-2</v>
      </c>
      <c r="W324" s="2">
        <v>2.63E-2</v>
      </c>
      <c r="X324" s="2">
        <v>5.11E-2</v>
      </c>
      <c r="Y324" s="2">
        <v>5.6899999999999999E-2</v>
      </c>
      <c r="Z324" s="2">
        <v>4.0500000000000001E-2</v>
      </c>
      <c r="AA324" s="5"/>
      <c r="AB324" s="2">
        <v>0.10199999999999999</v>
      </c>
      <c r="AC324" s="2">
        <v>0.17599999999999999</v>
      </c>
      <c r="AD324" s="2">
        <v>0.20899999999999999</v>
      </c>
      <c r="AE324" s="2">
        <v>0.22700000000000001</v>
      </c>
      <c r="AF324" s="5"/>
      <c r="AG324" s="5"/>
      <c r="AH324" s="2">
        <v>7.4300000000000005E-2</v>
      </c>
      <c r="AI324" s="2">
        <v>0.217</v>
      </c>
      <c r="AJ324" s="2">
        <v>0.10199999999999999</v>
      </c>
      <c r="AK324" s="2">
        <v>0.19900000000000001</v>
      </c>
      <c r="AL324" s="2">
        <v>0.19600000000000001</v>
      </c>
      <c r="AM324" s="5"/>
      <c r="AN324" s="2">
        <v>0.158</v>
      </c>
      <c r="AO324" s="2">
        <v>6.4600000000000005E-2</v>
      </c>
      <c r="AP324" s="79">
        <v>41</v>
      </c>
    </row>
    <row r="325" spans="1:42">
      <c r="A325" s="8" t="s">
        <v>213</v>
      </c>
      <c r="B325" s="3"/>
      <c r="C325" s="4">
        <v>1.5299999999999999E-2</v>
      </c>
      <c r="D325" s="3"/>
      <c r="E325" s="3"/>
      <c r="F325" s="3"/>
      <c r="G325" s="3"/>
      <c r="H325" s="3"/>
      <c r="I325" s="4">
        <v>1.7899999999999999E-2</v>
      </c>
      <c r="J325" s="4">
        <v>3.2800000000000003E-2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4">
        <v>0</v>
      </c>
      <c r="AP325" s="68"/>
    </row>
    <row r="326" spans="1:42">
      <c r="A326" s="8" t="s">
        <v>214</v>
      </c>
      <c r="B326" s="2">
        <v>0.18099999999999999</v>
      </c>
      <c r="C326" s="2">
        <v>0.311</v>
      </c>
      <c r="D326" s="2">
        <v>0.41299999999999998</v>
      </c>
      <c r="E326" s="2">
        <v>0.63900000000000001</v>
      </c>
      <c r="F326" s="2">
        <v>0.65500000000000003</v>
      </c>
      <c r="G326" s="2">
        <v>0.35699999999999998</v>
      </c>
      <c r="H326" s="2">
        <v>0.29699999999999999</v>
      </c>
      <c r="I326" s="2">
        <v>0.30099999999999999</v>
      </c>
      <c r="J326" s="2">
        <v>0.191</v>
      </c>
      <c r="K326" s="2">
        <v>0.37</v>
      </c>
      <c r="L326" s="2">
        <v>0.184</v>
      </c>
      <c r="M326" s="2">
        <v>9.9500000000000005E-2</v>
      </c>
      <c r="N326" s="2">
        <v>0.215</v>
      </c>
      <c r="O326" s="2">
        <v>0.109</v>
      </c>
      <c r="P326" s="2">
        <v>0.22800000000000001</v>
      </c>
      <c r="Q326" s="2">
        <v>0.215</v>
      </c>
      <c r="R326" s="2">
        <v>0.19800000000000001</v>
      </c>
      <c r="S326" s="2">
        <v>0.192</v>
      </c>
      <c r="T326" s="2">
        <v>4.0300000000000002E-2</v>
      </c>
      <c r="U326" s="2">
        <v>0.184</v>
      </c>
      <c r="V326" s="2">
        <v>0.25700000000000001</v>
      </c>
      <c r="W326" s="2">
        <v>0.16</v>
      </c>
      <c r="X326" s="2">
        <v>0.254</v>
      </c>
      <c r="Y326" s="2">
        <v>0.25700000000000001</v>
      </c>
      <c r="Z326" s="2">
        <v>0.27300000000000002</v>
      </c>
      <c r="AA326" s="5"/>
      <c r="AB326" s="2">
        <v>0.192</v>
      </c>
      <c r="AC326" s="2">
        <v>0.34499999999999997</v>
      </c>
      <c r="AD326" s="2">
        <v>0.22700000000000001</v>
      </c>
      <c r="AE326" s="2">
        <v>0.29799999999999999</v>
      </c>
      <c r="AF326" s="5"/>
      <c r="AG326" s="5"/>
      <c r="AH326" s="2">
        <v>0.17599999999999999</v>
      </c>
      <c r="AI326" s="2">
        <v>0.30599999999999999</v>
      </c>
      <c r="AJ326" s="2">
        <v>0.27700000000000002</v>
      </c>
      <c r="AK326" s="2">
        <v>0.33600000000000002</v>
      </c>
      <c r="AL326" s="2">
        <v>0.379</v>
      </c>
      <c r="AM326" s="5"/>
      <c r="AN326" s="2">
        <v>0.29499999999999998</v>
      </c>
      <c r="AO326" s="2">
        <v>7.6600000000000001E-2</v>
      </c>
      <c r="AP326" s="79">
        <v>26</v>
      </c>
    </row>
    <row r="327" spans="1:42">
      <c r="A327" s="8" t="s">
        <v>629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4">
        <v>2.8600000000000001E-3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4">
        <v>0</v>
      </c>
      <c r="AP327" s="68"/>
    </row>
    <row r="328" spans="1:42">
      <c r="A328" s="8" t="s">
        <v>215</v>
      </c>
      <c r="B328" s="5"/>
      <c r="C328" s="2">
        <v>1.3100000000000001E-2</v>
      </c>
      <c r="D328" s="5"/>
      <c r="E328" s="5"/>
      <c r="F328" s="5"/>
      <c r="G328" s="5"/>
      <c r="H328" s="2">
        <v>5.1000000000000004E-3</v>
      </c>
      <c r="I328" s="2">
        <v>6.6800000000000002E-3</v>
      </c>
      <c r="J328" s="5"/>
      <c r="K328" s="5"/>
      <c r="L328" s="2">
        <v>5.5799999999999999E-3</v>
      </c>
      <c r="M328" s="5"/>
      <c r="N328" s="5"/>
      <c r="O328" s="5"/>
      <c r="P328" s="5"/>
      <c r="Q328" s="5"/>
      <c r="R328" s="5"/>
      <c r="S328" s="5"/>
      <c r="T328" s="2">
        <v>1.6799999999999999E-2</v>
      </c>
      <c r="U328" s="2">
        <v>1.0500000000000001E-2</v>
      </c>
      <c r="V328" s="2">
        <v>1.23E-2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2">
        <v>5.0699999999999999E-3</v>
      </c>
      <c r="AK328" s="5"/>
      <c r="AL328" s="5"/>
      <c r="AM328" s="5"/>
      <c r="AN328" s="2">
        <v>5.0699999999999999E-3</v>
      </c>
      <c r="AO328" s="5"/>
      <c r="AP328" s="79">
        <v>0</v>
      </c>
    </row>
    <row r="329" spans="1:42">
      <c r="A329" s="8" t="s">
        <v>630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4">
        <v>2.81E-3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4">
        <v>0</v>
      </c>
      <c r="AP329" s="68"/>
    </row>
    <row r="330" spans="1:42">
      <c r="A330" s="8" t="s">
        <v>631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2">
        <v>0</v>
      </c>
      <c r="AP330" s="77"/>
    </row>
    <row r="331" spans="1:42">
      <c r="A331" s="8" t="s">
        <v>216</v>
      </c>
      <c r="B331" s="3"/>
      <c r="C331" s="4">
        <v>2.5700000000000001E-2</v>
      </c>
      <c r="D331" s="4">
        <v>1.4800000000000001E-2</v>
      </c>
      <c r="E331" s="3"/>
      <c r="F331" s="3"/>
      <c r="G331" s="3"/>
      <c r="H331" s="4">
        <v>9.2999999999999992E-3</v>
      </c>
      <c r="I331" s="4">
        <v>1.17E-2</v>
      </c>
      <c r="J331" s="3"/>
      <c r="K331" s="3"/>
      <c r="L331" s="4">
        <v>1.03E-2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4">
        <v>1.44E-2</v>
      </c>
      <c r="AC331" s="3"/>
      <c r="AD331" s="3"/>
      <c r="AE331" s="3"/>
      <c r="AF331" s="3"/>
      <c r="AG331" s="3"/>
      <c r="AH331" s="3"/>
      <c r="AI331" s="3"/>
      <c r="AJ331" s="4">
        <v>7.4999999999999997E-3</v>
      </c>
      <c r="AK331" s="3"/>
      <c r="AL331" s="3"/>
      <c r="AM331" s="3"/>
      <c r="AN331" s="4">
        <v>7.4999999999999997E-3</v>
      </c>
      <c r="AO331" s="3"/>
      <c r="AP331" s="78">
        <v>0</v>
      </c>
    </row>
    <row r="332" spans="1:42">
      <c r="A332" s="8" t="s">
        <v>632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2">
        <v>2.7100000000000002E-3</v>
      </c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2">
        <v>0</v>
      </c>
      <c r="AP332" s="77"/>
    </row>
    <row r="333" spans="1:42">
      <c r="A333" s="8" t="s">
        <v>217</v>
      </c>
      <c r="B333" s="3"/>
      <c r="C333" s="4">
        <v>3.1E-2</v>
      </c>
      <c r="D333" s="4">
        <v>3.1899999999999998E-2</v>
      </c>
      <c r="E333" s="4">
        <v>7.0099999999999996E-2</v>
      </c>
      <c r="F333" s="4">
        <v>0.16700000000000001</v>
      </c>
      <c r="G333" s="4">
        <v>2.2200000000000001E-2</v>
      </c>
      <c r="H333" s="4">
        <v>4.3700000000000003E-2</v>
      </c>
      <c r="I333" s="4">
        <v>2.5700000000000001E-2</v>
      </c>
      <c r="J333" s="4">
        <v>4.5400000000000003E-2</v>
      </c>
      <c r="K333" s="4">
        <v>4.65E-2</v>
      </c>
      <c r="L333" s="4">
        <v>8.4199999999999997E-2</v>
      </c>
      <c r="M333" s="3"/>
      <c r="N333" s="3"/>
      <c r="O333" s="3"/>
      <c r="P333" s="3"/>
      <c r="Q333" s="4">
        <v>7.8899999999999998E-2</v>
      </c>
      <c r="R333" s="4">
        <v>0.152</v>
      </c>
      <c r="S333" s="3"/>
      <c r="T333" s="3"/>
      <c r="U333" s="4">
        <v>1.61E-2</v>
      </c>
      <c r="V333" s="4">
        <v>3.4700000000000002E-2</v>
      </c>
      <c r="W333" s="4">
        <v>9.5399999999999999E-2</v>
      </c>
      <c r="X333" s="4">
        <v>4.48E-2</v>
      </c>
      <c r="Y333" s="4">
        <v>7.8299999999999995E-2</v>
      </c>
      <c r="Z333" s="4">
        <v>3.3599999999999998E-2</v>
      </c>
      <c r="AA333" s="3"/>
      <c r="AB333" s="4">
        <v>4.4200000000000003E-2</v>
      </c>
      <c r="AC333" s="4">
        <v>0.16500000000000001</v>
      </c>
      <c r="AD333" s="4">
        <v>3.8399999999999997E-2</v>
      </c>
      <c r="AE333" s="4">
        <v>0.11</v>
      </c>
      <c r="AF333" s="3"/>
      <c r="AG333" s="3"/>
      <c r="AH333" s="3"/>
      <c r="AI333" s="3"/>
      <c r="AJ333" s="4">
        <v>0.09</v>
      </c>
      <c r="AK333" s="4">
        <v>0.13200000000000001</v>
      </c>
      <c r="AL333" s="4">
        <v>4.1200000000000001E-2</v>
      </c>
      <c r="AM333" s="3"/>
      <c r="AN333" s="4">
        <v>8.7599999999999997E-2</v>
      </c>
      <c r="AO333" s="4">
        <v>4.5199999999999997E-2</v>
      </c>
      <c r="AP333" s="78">
        <v>51.6</v>
      </c>
    </row>
    <row r="334" spans="1:42">
      <c r="A334" s="8" t="s">
        <v>633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2">
        <v>0</v>
      </c>
      <c r="AP334" s="77"/>
    </row>
    <row r="335" spans="1:42">
      <c r="A335" s="8" t="s">
        <v>634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4">
        <v>2.0100000000000001E-3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4">
        <v>0</v>
      </c>
      <c r="AP335" s="68"/>
    </row>
    <row r="336" spans="1:42">
      <c r="A336" s="8" t="s">
        <v>218</v>
      </c>
      <c r="B336" s="2">
        <v>5.4400000000000004E-3</v>
      </c>
      <c r="C336" s="2">
        <v>3.5000000000000001E-3</v>
      </c>
      <c r="D336" s="5"/>
      <c r="E336" s="5"/>
      <c r="F336" s="5"/>
      <c r="G336" s="5"/>
      <c r="H336" s="2">
        <v>2.2300000000000002E-3</v>
      </c>
      <c r="I336" s="2">
        <v>2.32E-3</v>
      </c>
      <c r="J336" s="2">
        <v>1.8400000000000001E-3</v>
      </c>
      <c r="K336" s="5"/>
      <c r="L336" s="2">
        <v>3.1199999999999999E-3</v>
      </c>
      <c r="M336" s="2">
        <v>6.4799999999999996E-3</v>
      </c>
      <c r="N336" s="2">
        <v>1.2700000000000001E-3</v>
      </c>
      <c r="O336" s="2">
        <v>7.3200000000000001E-4</v>
      </c>
      <c r="P336" s="2">
        <v>2.7299999999999998E-3</v>
      </c>
      <c r="Q336" s="5"/>
      <c r="R336" s="2">
        <v>4.1399999999999996E-3</v>
      </c>
      <c r="S336" s="2">
        <v>2.0999999999999999E-3</v>
      </c>
      <c r="T336" s="5"/>
      <c r="U336" s="2">
        <v>1.6900000000000001E-3</v>
      </c>
      <c r="V336" s="2">
        <v>2.8800000000000002E-3</v>
      </c>
      <c r="W336" s="2">
        <v>6.4700000000000001E-3</v>
      </c>
      <c r="X336" s="2">
        <v>4.0400000000000002E-3</v>
      </c>
      <c r="Y336" s="2">
        <v>5.7400000000000003E-3</v>
      </c>
      <c r="Z336" s="2">
        <v>5.8700000000000002E-3</v>
      </c>
      <c r="AA336" s="5"/>
      <c r="AB336" s="5"/>
      <c r="AC336" s="2">
        <v>1.72E-3</v>
      </c>
      <c r="AD336" s="5"/>
      <c r="AE336" s="2">
        <v>8.2100000000000003E-3</v>
      </c>
      <c r="AF336" s="5"/>
      <c r="AG336" s="5"/>
      <c r="AH336" s="5"/>
      <c r="AI336" s="2">
        <v>2.7799999999999999E-3</v>
      </c>
      <c r="AJ336" s="2">
        <v>1.5499999999999999E-3</v>
      </c>
      <c r="AK336" s="5"/>
      <c r="AL336" s="2">
        <v>2.6199999999999999E-3</v>
      </c>
      <c r="AM336" s="5"/>
      <c r="AN336" s="2">
        <v>2.31E-3</v>
      </c>
      <c r="AO336" s="2">
        <v>6.69E-4</v>
      </c>
      <c r="AP336" s="79">
        <v>28.9</v>
      </c>
    </row>
    <row r="337" spans="1:42">
      <c r="A337" s="8" t="s">
        <v>635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4">
        <v>2.63E-3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4">
        <v>0</v>
      </c>
      <c r="AP337" s="68"/>
    </row>
    <row r="338" spans="1:42">
      <c r="A338" s="8" t="s">
        <v>636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2">
        <v>0</v>
      </c>
      <c r="AP338" s="77"/>
    </row>
    <row r="339" spans="1:42">
      <c r="A339" s="8" t="s">
        <v>219</v>
      </c>
      <c r="B339" s="3"/>
      <c r="C339" s="3"/>
      <c r="D339" s="4">
        <v>3.3400000000000001E-3</v>
      </c>
      <c r="E339" s="3"/>
      <c r="F339" s="3"/>
      <c r="G339" s="3"/>
      <c r="H339" s="4">
        <v>4.3400000000000001E-3</v>
      </c>
      <c r="I339" s="4">
        <v>2.65E-3</v>
      </c>
      <c r="J339" s="4">
        <v>2.0799999999999998E-3</v>
      </c>
      <c r="K339" s="3"/>
      <c r="L339" s="4">
        <v>3.7599999999999999E-3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4">
        <v>3.4199999999999999E-3</v>
      </c>
      <c r="X339" s="3"/>
      <c r="Y339" s="3"/>
      <c r="Z339" s="3"/>
      <c r="AA339" s="3"/>
      <c r="AB339" s="3"/>
      <c r="AC339" s="4">
        <v>1.91E-3</v>
      </c>
      <c r="AD339" s="4">
        <v>1.42E-3</v>
      </c>
      <c r="AE339" s="4">
        <v>7.9299999999999995E-3</v>
      </c>
      <c r="AF339" s="3"/>
      <c r="AG339" s="3"/>
      <c r="AH339" s="3"/>
      <c r="AI339" s="3"/>
      <c r="AJ339" s="4">
        <v>2.3E-3</v>
      </c>
      <c r="AK339" s="3"/>
      <c r="AL339" s="3"/>
      <c r="AM339" s="3"/>
      <c r="AN339" s="4">
        <v>2.3E-3</v>
      </c>
      <c r="AO339" s="3"/>
      <c r="AP339" s="78">
        <v>0</v>
      </c>
    </row>
    <row r="340" spans="1:42">
      <c r="A340" s="8" t="s">
        <v>220</v>
      </c>
      <c r="B340" s="5"/>
      <c r="C340" s="2">
        <v>5.4599999999999996E-3</v>
      </c>
      <c r="D340" s="2">
        <v>3.3600000000000001E-3</v>
      </c>
      <c r="E340" s="5"/>
      <c r="F340" s="5"/>
      <c r="G340" s="5"/>
      <c r="H340" s="2">
        <v>2.7100000000000002E-3</v>
      </c>
      <c r="I340" s="2">
        <v>2.3900000000000002E-3</v>
      </c>
      <c r="J340" s="2">
        <v>1.66E-3</v>
      </c>
      <c r="K340" s="5"/>
      <c r="L340" s="2">
        <v>4.0200000000000001E-3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2">
        <v>2.7899999999999999E-3</v>
      </c>
      <c r="X340" s="5"/>
      <c r="Y340" s="5"/>
      <c r="Z340" s="2">
        <v>9.8999999999999999E-4</v>
      </c>
      <c r="AA340" s="5"/>
      <c r="AB340" s="2">
        <v>3.5300000000000002E-3</v>
      </c>
      <c r="AC340" s="2">
        <v>1.6100000000000001E-3</v>
      </c>
      <c r="AD340" s="2">
        <v>8.6600000000000002E-4</v>
      </c>
      <c r="AE340" s="5"/>
      <c r="AF340" s="5"/>
      <c r="AG340" s="5"/>
      <c r="AH340" s="2">
        <v>9.0799999999999995E-4</v>
      </c>
      <c r="AI340" s="5"/>
      <c r="AJ340" s="2">
        <v>2.48E-3</v>
      </c>
      <c r="AK340" s="5"/>
      <c r="AL340" s="5"/>
      <c r="AM340" s="5"/>
      <c r="AN340" s="2">
        <v>1.6900000000000001E-3</v>
      </c>
      <c r="AO340" s="2">
        <v>1.1100000000000001E-3</v>
      </c>
      <c r="AP340" s="79">
        <v>65.599999999999994</v>
      </c>
    </row>
    <row r="341" spans="1:42">
      <c r="A341" s="8" t="s">
        <v>221</v>
      </c>
      <c r="B341" s="4">
        <v>5.1999999999999995E-4</v>
      </c>
      <c r="C341" s="4">
        <v>3.0899999999999999E-3</v>
      </c>
      <c r="D341" s="3"/>
      <c r="E341" s="3"/>
      <c r="F341" s="4">
        <v>1.1800000000000001E-3</v>
      </c>
      <c r="G341" s="4">
        <v>2.6199999999999999E-3</v>
      </c>
      <c r="H341" s="4">
        <v>8.2600000000000002E-4</v>
      </c>
      <c r="I341" s="4">
        <v>9.2900000000000003E-4</v>
      </c>
      <c r="J341" s="3"/>
      <c r="K341" s="3"/>
      <c r="L341" s="3"/>
      <c r="M341" s="3"/>
      <c r="N341" s="3"/>
      <c r="O341" s="3"/>
      <c r="P341" s="3"/>
      <c r="Q341" s="3"/>
      <c r="R341" s="4">
        <v>1.52E-2</v>
      </c>
      <c r="S341" s="3"/>
      <c r="T341" s="3"/>
      <c r="U341" s="3"/>
      <c r="V341" s="3"/>
      <c r="W341" s="3"/>
      <c r="X341" s="3"/>
      <c r="Y341" s="3"/>
      <c r="Z341" s="3"/>
      <c r="AA341" s="3"/>
      <c r="AB341" s="4">
        <v>8.5199999999999998E-3</v>
      </c>
      <c r="AC341" s="4">
        <v>4.5399999999999998E-3</v>
      </c>
      <c r="AD341" s="4">
        <v>4.9800000000000001E-3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4">
        <v>0</v>
      </c>
      <c r="AP341" s="68"/>
    </row>
    <row r="342" spans="1:42">
      <c r="A342" s="8" t="s">
        <v>222</v>
      </c>
      <c r="B342" s="2">
        <v>0.31900000000000001</v>
      </c>
      <c r="C342" s="2">
        <v>0.21099999999999999</v>
      </c>
      <c r="D342" s="2">
        <v>4.99E-2</v>
      </c>
      <c r="E342" s="2">
        <v>0.248</v>
      </c>
      <c r="F342" s="2">
        <v>0.224</v>
      </c>
      <c r="G342" s="2">
        <v>9.1899999999999996E-2</v>
      </c>
      <c r="H342" s="2">
        <v>0.45500000000000002</v>
      </c>
      <c r="I342" s="2">
        <v>0.439</v>
      </c>
      <c r="J342" s="2">
        <v>0.55700000000000005</v>
      </c>
      <c r="K342" s="2">
        <v>0.59799999999999998</v>
      </c>
      <c r="L342" s="2">
        <v>0.40100000000000002</v>
      </c>
      <c r="M342" s="2">
        <v>1.35</v>
      </c>
      <c r="N342" s="2">
        <v>0.79400000000000004</v>
      </c>
      <c r="O342" s="2">
        <v>0.33600000000000002</v>
      </c>
      <c r="P342" s="2">
        <v>0.23499999999999999</v>
      </c>
      <c r="Q342" s="2">
        <v>1.59</v>
      </c>
      <c r="R342" s="2">
        <v>0.371</v>
      </c>
      <c r="S342" s="2">
        <v>0.755</v>
      </c>
      <c r="T342" s="2">
        <v>0.71499999999999997</v>
      </c>
      <c r="U342" s="2">
        <v>0.60399999999999998</v>
      </c>
      <c r="V342" s="2">
        <v>0.79400000000000004</v>
      </c>
      <c r="W342" s="2">
        <v>0.48899999999999999</v>
      </c>
      <c r="X342" s="2">
        <v>0.42799999999999999</v>
      </c>
      <c r="Y342" s="2">
        <v>0.47199999999999998</v>
      </c>
      <c r="Z342" s="2">
        <v>0.73099999999999998</v>
      </c>
      <c r="AA342" s="5"/>
      <c r="AB342" s="2">
        <v>0.157</v>
      </c>
      <c r="AC342" s="2">
        <v>0.307</v>
      </c>
      <c r="AD342" s="2">
        <v>0.40300000000000002</v>
      </c>
      <c r="AE342" s="2">
        <v>0.70799999999999996</v>
      </c>
      <c r="AF342" s="5"/>
      <c r="AG342" s="5"/>
      <c r="AH342" s="2">
        <v>0.56899999999999995</v>
      </c>
      <c r="AI342" s="2">
        <v>0.44900000000000001</v>
      </c>
      <c r="AJ342" s="2">
        <v>0.49399999999999999</v>
      </c>
      <c r="AK342" s="2">
        <v>1.32</v>
      </c>
      <c r="AL342" s="2">
        <v>0.371</v>
      </c>
      <c r="AM342" s="5"/>
      <c r="AN342" s="2">
        <v>0.64100000000000001</v>
      </c>
      <c r="AO342" s="2">
        <v>0.38800000000000001</v>
      </c>
      <c r="AP342" s="79">
        <v>60.5</v>
      </c>
    </row>
    <row r="343" spans="1:42">
      <c r="A343" s="8" t="s">
        <v>223</v>
      </c>
      <c r="B343" s="3"/>
      <c r="C343" s="4">
        <v>2.64E-3</v>
      </c>
      <c r="D343" s="4">
        <v>1.7600000000000001E-3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4">
        <v>1.8699999999999999E-3</v>
      </c>
      <c r="X343" s="3"/>
      <c r="Y343" s="3"/>
      <c r="Z343" s="3"/>
      <c r="AA343" s="3"/>
      <c r="AB343" s="4">
        <v>1.65E-3</v>
      </c>
      <c r="AC343" s="3"/>
      <c r="AD343" s="3"/>
      <c r="AE343" s="3"/>
      <c r="AF343" s="3"/>
      <c r="AG343" s="3"/>
      <c r="AH343" s="3"/>
      <c r="AI343" s="3"/>
      <c r="AJ343" s="4">
        <v>1.2600000000000001E-3</v>
      </c>
      <c r="AK343" s="3"/>
      <c r="AL343" s="3"/>
      <c r="AM343" s="3"/>
      <c r="AN343" s="4">
        <v>1.2600000000000001E-3</v>
      </c>
      <c r="AO343" s="3"/>
      <c r="AP343" s="78">
        <v>0</v>
      </c>
    </row>
    <row r="344" spans="1:42">
      <c r="A344" s="8" t="s">
        <v>224</v>
      </c>
      <c r="B344" s="2">
        <v>0.316</v>
      </c>
      <c r="C344" s="2">
        <v>0.217</v>
      </c>
      <c r="D344" s="2">
        <v>0.13500000000000001</v>
      </c>
      <c r="E344" s="2">
        <v>9.11E-2</v>
      </c>
      <c r="F344" s="2">
        <v>0.191</v>
      </c>
      <c r="G344" s="2">
        <v>0.35099999999999998</v>
      </c>
      <c r="H344" s="2">
        <v>0.27200000000000002</v>
      </c>
      <c r="I344" s="2">
        <v>0.30199999999999999</v>
      </c>
      <c r="J344" s="2">
        <v>0.30399999999999999</v>
      </c>
      <c r="K344" s="2">
        <v>0.14499999999999999</v>
      </c>
      <c r="L344" s="2">
        <v>0.26800000000000002</v>
      </c>
      <c r="M344" s="2">
        <v>0.42499999999999999</v>
      </c>
      <c r="N344" s="2">
        <v>0.29099999999999998</v>
      </c>
      <c r="O344" s="2">
        <v>0.246</v>
      </c>
      <c r="P344" s="2">
        <v>0.29499999999999998</v>
      </c>
      <c r="Q344" s="2">
        <v>0.20300000000000001</v>
      </c>
      <c r="R344" s="2">
        <v>0.377</v>
      </c>
      <c r="S344" s="2">
        <v>0.42399999999999999</v>
      </c>
      <c r="T344" s="2">
        <v>1.5</v>
      </c>
      <c r="U344" s="2">
        <v>0.28399999999999997</v>
      </c>
      <c r="V344" s="2">
        <v>0.40500000000000003</v>
      </c>
      <c r="W344" s="2">
        <v>0.39200000000000002</v>
      </c>
      <c r="X344" s="2">
        <v>0.28199999999999997</v>
      </c>
      <c r="Y344" s="2">
        <v>0.32500000000000001</v>
      </c>
      <c r="Z344" s="2">
        <v>0.27200000000000002</v>
      </c>
      <c r="AA344" s="5"/>
      <c r="AB344" s="2">
        <v>0.35</v>
      </c>
      <c r="AC344" s="2">
        <v>0.34699999999999998</v>
      </c>
      <c r="AD344" s="2">
        <v>0.32</v>
      </c>
      <c r="AE344" s="2">
        <v>0.18099999999999999</v>
      </c>
      <c r="AF344" s="5"/>
      <c r="AG344" s="5"/>
      <c r="AH344" s="2">
        <v>0.32300000000000001</v>
      </c>
      <c r="AI344" s="2">
        <v>0.38800000000000001</v>
      </c>
      <c r="AJ344" s="2">
        <v>0.36099999999999999</v>
      </c>
      <c r="AK344" s="2">
        <v>0.19900000000000001</v>
      </c>
      <c r="AL344" s="2">
        <v>0.40200000000000002</v>
      </c>
      <c r="AM344" s="5"/>
      <c r="AN344" s="2">
        <v>0.33500000000000002</v>
      </c>
      <c r="AO344" s="2">
        <v>8.1600000000000006E-2</v>
      </c>
      <c r="AP344" s="79">
        <v>24.4</v>
      </c>
    </row>
    <row r="345" spans="1:42">
      <c r="A345" s="8" t="s">
        <v>225</v>
      </c>
      <c r="B345" s="3"/>
      <c r="C345" s="4">
        <v>8.3199999999999993E-3</v>
      </c>
      <c r="D345" s="4">
        <v>5.8300000000000001E-3</v>
      </c>
      <c r="E345" s="3"/>
      <c r="F345" s="3"/>
      <c r="G345" s="3"/>
      <c r="H345" s="4">
        <v>4.6600000000000001E-3</v>
      </c>
      <c r="I345" s="4">
        <v>4.4600000000000004E-3</v>
      </c>
      <c r="J345" s="3"/>
      <c r="K345" s="3"/>
      <c r="L345" s="4">
        <v>6.5399999999999998E-3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4">
        <v>3.5500000000000002E-3</v>
      </c>
      <c r="X345" s="3"/>
      <c r="Y345" s="3"/>
      <c r="Z345" s="3"/>
      <c r="AA345" s="3"/>
      <c r="AB345" s="4">
        <v>5.5599999999999998E-3</v>
      </c>
      <c r="AC345" s="4">
        <v>2.5899999999999999E-3</v>
      </c>
      <c r="AD345" s="3"/>
      <c r="AE345" s="3"/>
      <c r="AF345" s="3"/>
      <c r="AG345" s="3"/>
      <c r="AH345" s="3"/>
      <c r="AI345" s="3"/>
      <c r="AJ345" s="4">
        <v>4.3400000000000001E-3</v>
      </c>
      <c r="AK345" s="3"/>
      <c r="AL345" s="3"/>
      <c r="AM345" s="3"/>
      <c r="AN345" s="4">
        <v>4.3400000000000001E-3</v>
      </c>
      <c r="AO345" s="3"/>
      <c r="AP345" s="78">
        <v>0</v>
      </c>
    </row>
    <row r="346" spans="1:42">
      <c r="A346" s="8" t="s">
        <v>637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2">
        <v>0</v>
      </c>
      <c r="AP346" s="77"/>
    </row>
    <row r="347" spans="1:42">
      <c r="A347" s="8" t="s">
        <v>638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4">
        <v>0</v>
      </c>
      <c r="AP347" s="68"/>
    </row>
    <row r="348" spans="1:42">
      <c r="A348" s="8" t="s">
        <v>226</v>
      </c>
      <c r="B348" s="2">
        <v>4.7300000000000004</v>
      </c>
      <c r="C348" s="2">
        <v>1.87</v>
      </c>
      <c r="D348" s="2">
        <v>0.68200000000000005</v>
      </c>
      <c r="E348" s="2">
        <v>2.34</v>
      </c>
      <c r="F348" s="2">
        <v>3.27</v>
      </c>
      <c r="G348" s="2">
        <v>1.84</v>
      </c>
      <c r="H348" s="2">
        <v>4.88</v>
      </c>
      <c r="I348" s="2">
        <v>4.17</v>
      </c>
      <c r="J348" s="2">
        <v>6.11</v>
      </c>
      <c r="K348" s="2">
        <v>6.78</v>
      </c>
      <c r="L348" s="2">
        <v>3.95</v>
      </c>
      <c r="M348" s="2">
        <v>13.1</v>
      </c>
      <c r="N348" s="2">
        <v>4.05</v>
      </c>
      <c r="O348" s="2">
        <v>3.44</v>
      </c>
      <c r="P348" s="2">
        <v>4.12</v>
      </c>
      <c r="Q348" s="2">
        <v>7.05</v>
      </c>
      <c r="R348" s="2">
        <v>4.6399999999999997</v>
      </c>
      <c r="S348" s="2">
        <v>8.8000000000000007</v>
      </c>
      <c r="T348" s="2">
        <v>6.37</v>
      </c>
      <c r="U348" s="2">
        <v>4.18</v>
      </c>
      <c r="V348" s="2">
        <v>5.79</v>
      </c>
      <c r="W348" s="2">
        <v>7.82</v>
      </c>
      <c r="X348" s="2">
        <v>4.25</v>
      </c>
      <c r="Y348" s="2">
        <v>4.68</v>
      </c>
      <c r="Z348" s="2">
        <v>4.95</v>
      </c>
      <c r="AA348" s="5"/>
      <c r="AB348" s="2">
        <v>2.39</v>
      </c>
      <c r="AC348" s="2">
        <v>5.63</v>
      </c>
      <c r="AD348" s="2">
        <v>5.98</v>
      </c>
      <c r="AE348" s="2">
        <v>6.6</v>
      </c>
      <c r="AF348" s="5"/>
      <c r="AG348" s="5"/>
      <c r="AH348" s="5"/>
      <c r="AI348" s="2">
        <v>4.55</v>
      </c>
      <c r="AJ348" s="2">
        <v>4.43</v>
      </c>
      <c r="AK348" s="2">
        <v>8.42</v>
      </c>
      <c r="AL348" s="2">
        <v>3.63</v>
      </c>
      <c r="AM348" s="5"/>
      <c r="AN348" s="2">
        <v>5.26</v>
      </c>
      <c r="AO348" s="2">
        <v>2.15</v>
      </c>
      <c r="AP348" s="79">
        <v>40.9</v>
      </c>
    </row>
    <row r="349" spans="1:42">
      <c r="A349" s="8" t="s">
        <v>639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4">
        <v>0</v>
      </c>
      <c r="AP349" s="68"/>
    </row>
    <row r="350" spans="1:42">
      <c r="A350" s="8" t="s">
        <v>227</v>
      </c>
      <c r="B350" s="5"/>
      <c r="C350" s="5"/>
      <c r="D350" s="5"/>
      <c r="E350" s="5"/>
      <c r="F350" s="2">
        <v>3.3000000000000002E-2</v>
      </c>
      <c r="G350" s="2">
        <v>1.3299999999999999E-2</v>
      </c>
      <c r="H350" s="5"/>
      <c r="I350" s="5"/>
      <c r="J350" s="5"/>
      <c r="K350" s="5"/>
      <c r="L350" s="5"/>
      <c r="M350" s="2">
        <v>9.2600000000000002E-2</v>
      </c>
      <c r="N350" s="2">
        <v>1.66E-2</v>
      </c>
      <c r="O350" s="2">
        <v>2.6499999999999999E-2</v>
      </c>
      <c r="P350" s="5"/>
      <c r="Q350" s="2">
        <v>3.6799999999999999E-2</v>
      </c>
      <c r="R350" s="2">
        <v>1.12E-2</v>
      </c>
      <c r="S350" s="2">
        <v>1.23E-2</v>
      </c>
      <c r="T350" s="5"/>
      <c r="U350" s="5"/>
      <c r="V350" s="2">
        <v>1.35E-2</v>
      </c>
      <c r="W350" s="2">
        <v>1.8800000000000001E-2</v>
      </c>
      <c r="X350" s="2">
        <v>1.6299999999999999E-2</v>
      </c>
      <c r="Y350" s="2">
        <v>9.7699999999999992E-3</v>
      </c>
      <c r="Z350" s="2">
        <v>1.9199999999999998E-2</v>
      </c>
      <c r="AA350" s="5"/>
      <c r="AB350" s="2">
        <v>1.1900000000000001E-2</v>
      </c>
      <c r="AC350" s="2">
        <v>2.6700000000000002E-2</v>
      </c>
      <c r="AD350" s="2">
        <v>1.7100000000000001E-2</v>
      </c>
      <c r="AE350" s="2">
        <v>7.8700000000000006E-2</v>
      </c>
      <c r="AF350" s="5"/>
      <c r="AG350" s="5"/>
      <c r="AH350" s="5"/>
      <c r="AI350" s="2">
        <v>2.3300000000000001E-2</v>
      </c>
      <c r="AJ350" s="5"/>
      <c r="AK350" s="5"/>
      <c r="AL350" s="2">
        <v>2.1600000000000001E-2</v>
      </c>
      <c r="AM350" s="5"/>
      <c r="AN350" s="2">
        <v>2.24E-2</v>
      </c>
      <c r="AO350" s="2">
        <v>1.1999999999999999E-3</v>
      </c>
      <c r="AP350" s="79">
        <v>5.34</v>
      </c>
    </row>
    <row r="351" spans="1:42">
      <c r="A351" s="8" t="s">
        <v>640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4">
        <v>0</v>
      </c>
      <c r="AP351" s="68"/>
    </row>
    <row r="352" spans="1:42">
      <c r="A352" s="8" t="s">
        <v>641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2">
        <v>0</v>
      </c>
      <c r="AP352" s="77"/>
    </row>
    <row r="353" spans="1:42">
      <c r="A353" s="8" t="s">
        <v>228</v>
      </c>
      <c r="B353" s="4">
        <v>2.47E-2</v>
      </c>
      <c r="C353" s="4">
        <v>2.06E-2</v>
      </c>
      <c r="D353" s="4">
        <v>1.8100000000000002E-2</v>
      </c>
      <c r="E353" s="4">
        <v>2.3199999999999998E-2</v>
      </c>
      <c r="F353" s="4">
        <v>3.09E-2</v>
      </c>
      <c r="G353" s="4">
        <v>3.6799999999999999E-2</v>
      </c>
      <c r="H353" s="4">
        <v>2.41E-2</v>
      </c>
      <c r="I353" s="3"/>
      <c r="J353" s="4">
        <v>4.4499999999999998E-2</v>
      </c>
      <c r="K353" s="4">
        <v>2.1899999999999999E-2</v>
      </c>
      <c r="L353" s="4">
        <v>2.3900000000000001E-2</v>
      </c>
      <c r="M353" s="4">
        <v>2.8799999999999999E-2</v>
      </c>
      <c r="N353" s="4">
        <v>2.5999999999999999E-2</v>
      </c>
      <c r="O353" s="4">
        <v>2.5899999999999999E-2</v>
      </c>
      <c r="P353" s="4">
        <v>2.35E-2</v>
      </c>
      <c r="Q353" s="4">
        <v>3.44E-2</v>
      </c>
      <c r="R353" s="4">
        <v>3.1699999999999999E-2</v>
      </c>
      <c r="S353" s="4">
        <v>4.2799999999999998E-2</v>
      </c>
      <c r="T353" s="4">
        <v>5.1200000000000002E-2</v>
      </c>
      <c r="U353" s="4">
        <v>3.8600000000000002E-2</v>
      </c>
      <c r="V353" s="4">
        <v>4.41E-2</v>
      </c>
      <c r="W353" s="4">
        <v>2.5999999999999999E-2</v>
      </c>
      <c r="X353" s="4">
        <v>3.2800000000000003E-2</v>
      </c>
      <c r="Y353" s="4">
        <v>3.1399999999999997E-2</v>
      </c>
      <c r="Z353" s="4">
        <v>3.6700000000000003E-2</v>
      </c>
      <c r="AA353" s="3"/>
      <c r="AB353" s="4">
        <v>1.6400000000000001E-2</v>
      </c>
      <c r="AC353" s="4">
        <v>6.2899999999999998E-2</v>
      </c>
      <c r="AD353" s="4">
        <v>7.1499999999999994E-2</v>
      </c>
      <c r="AE353" s="4">
        <v>8.4900000000000003E-2</v>
      </c>
      <c r="AF353" s="3"/>
      <c r="AG353" s="3"/>
      <c r="AH353" s="4">
        <v>3.4299999999999997E-2</v>
      </c>
      <c r="AI353" s="4">
        <v>2.58E-2</v>
      </c>
      <c r="AJ353" s="4">
        <v>3.0300000000000001E-2</v>
      </c>
      <c r="AK353" s="4">
        <v>2.6200000000000001E-2</v>
      </c>
      <c r="AL353" s="4">
        <v>4.2299999999999997E-2</v>
      </c>
      <c r="AM353" s="3"/>
      <c r="AN353" s="4">
        <v>3.1800000000000002E-2</v>
      </c>
      <c r="AO353" s="4">
        <v>6.8199999999999997E-3</v>
      </c>
      <c r="AP353" s="78">
        <v>21.5</v>
      </c>
    </row>
    <row r="354" spans="1:42">
      <c r="A354" s="8" t="s">
        <v>642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2">
        <v>0</v>
      </c>
      <c r="AP354" s="77"/>
    </row>
    <row r="355" spans="1:42">
      <c r="A355" s="8" t="s">
        <v>643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4">
        <v>0</v>
      </c>
      <c r="AP355" s="68"/>
    </row>
    <row r="356" spans="1:42">
      <c r="A356" s="8" t="s">
        <v>644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2">
        <v>0</v>
      </c>
      <c r="AP356" s="77"/>
    </row>
    <row r="357" spans="1:42">
      <c r="A357" s="8" t="s">
        <v>229</v>
      </c>
      <c r="B357" s="3"/>
      <c r="C357" s="4">
        <v>1.61E-2</v>
      </c>
      <c r="D357" s="4">
        <v>1.14E-2</v>
      </c>
      <c r="E357" s="4">
        <v>2.47E-2</v>
      </c>
      <c r="F357" s="4">
        <v>4.5400000000000003E-2</v>
      </c>
      <c r="G357" s="4">
        <v>4.28E-3</v>
      </c>
      <c r="H357" s="4">
        <v>1.21E-2</v>
      </c>
      <c r="I357" s="4">
        <v>1.5299999999999999E-2</v>
      </c>
      <c r="J357" s="4">
        <v>1.9400000000000001E-2</v>
      </c>
      <c r="K357" s="4">
        <v>2.0500000000000001E-2</v>
      </c>
      <c r="L357" s="4">
        <v>2.29E-2</v>
      </c>
      <c r="M357" s="4">
        <v>9.2599999999999991E-3</v>
      </c>
      <c r="N357" s="4">
        <v>1.26E-2</v>
      </c>
      <c r="O357" s="4">
        <v>0.112</v>
      </c>
      <c r="P357" s="4">
        <v>1.6799999999999999E-2</v>
      </c>
      <c r="Q357" s="4">
        <v>0.30299999999999999</v>
      </c>
      <c r="R357" s="4">
        <v>7.6E-3</v>
      </c>
      <c r="S357" s="4">
        <v>1.66E-2</v>
      </c>
      <c r="T357" s="4">
        <v>1.9E-2</v>
      </c>
      <c r="U357" s="4">
        <v>1.35E-2</v>
      </c>
      <c r="V357" s="4">
        <v>9.0300000000000005E-2</v>
      </c>
      <c r="W357" s="4">
        <v>1.2E-2</v>
      </c>
      <c r="X357" s="4">
        <v>1.1299999999999999E-2</v>
      </c>
      <c r="Y357" s="4">
        <v>1.6E-2</v>
      </c>
      <c r="Z357" s="4">
        <v>1.01E-2</v>
      </c>
      <c r="AA357" s="3"/>
      <c r="AB357" s="4">
        <v>5.3299999999999997E-3</v>
      </c>
      <c r="AC357" s="4">
        <v>1.49E-2</v>
      </c>
      <c r="AD357" s="4">
        <v>5.3699999999999998E-3</v>
      </c>
      <c r="AE357" s="4">
        <v>0.873</v>
      </c>
      <c r="AF357" s="3"/>
      <c r="AG357" s="3"/>
      <c r="AH357" s="3"/>
      <c r="AI357" s="4">
        <v>8.5100000000000002E-3</v>
      </c>
      <c r="AJ357" s="4">
        <v>1.43E-2</v>
      </c>
      <c r="AK357" s="4">
        <v>0.17799999999999999</v>
      </c>
      <c r="AL357" s="4">
        <v>3.4199999999999999E-3</v>
      </c>
      <c r="AM357" s="3"/>
      <c r="AN357" s="4">
        <v>5.11E-2</v>
      </c>
      <c r="AO357" s="4">
        <v>8.4900000000000003E-2</v>
      </c>
      <c r="AP357" s="78">
        <v>166</v>
      </c>
    </row>
    <row r="358" spans="1:42">
      <c r="A358" s="8" t="s">
        <v>645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2">
        <v>0</v>
      </c>
      <c r="AP358" s="77"/>
    </row>
    <row r="359" spans="1:42">
      <c r="A359" s="8" t="s">
        <v>230</v>
      </c>
      <c r="B359" s="4">
        <v>4.87E-2</v>
      </c>
      <c r="C359" s="4">
        <v>6.8199999999999997E-2</v>
      </c>
      <c r="D359" s="4">
        <v>9.1800000000000007E-2</v>
      </c>
      <c r="E359" s="4">
        <v>9.1399999999999995E-2</v>
      </c>
      <c r="F359" s="4">
        <v>9.69E-2</v>
      </c>
      <c r="G359" s="4">
        <v>8.4599999999999995E-2</v>
      </c>
      <c r="H359" s="4">
        <v>5.6500000000000002E-2</v>
      </c>
      <c r="I359" s="4">
        <v>5.3499999999999999E-2</v>
      </c>
      <c r="J359" s="4">
        <v>4.9000000000000002E-2</v>
      </c>
      <c r="K359" s="4">
        <v>8.6999999999999994E-2</v>
      </c>
      <c r="L359" s="4">
        <v>5.7000000000000002E-2</v>
      </c>
      <c r="M359" s="4">
        <v>2.7199999999999998E-2</v>
      </c>
      <c r="N359" s="4">
        <v>3.7699999999999997E-2</v>
      </c>
      <c r="O359" s="4">
        <v>2.1700000000000001E-2</v>
      </c>
      <c r="P359" s="4">
        <v>6.5600000000000006E-2</v>
      </c>
      <c r="Q359" s="4">
        <v>6.08E-2</v>
      </c>
      <c r="R359" s="4">
        <v>5.3199999999999997E-2</v>
      </c>
      <c r="S359" s="4">
        <v>3.7699999999999997E-2</v>
      </c>
      <c r="T359" s="4">
        <v>1.06E-2</v>
      </c>
      <c r="U359" s="4">
        <v>3.4599999999999999E-2</v>
      </c>
      <c r="V359" s="4">
        <v>3.8300000000000001E-2</v>
      </c>
      <c r="W359" s="4">
        <v>3.9100000000000003E-2</v>
      </c>
      <c r="X359" s="4">
        <v>5.3900000000000003E-2</v>
      </c>
      <c r="Y359" s="4">
        <v>5.0999999999999997E-2</v>
      </c>
      <c r="Z359" s="4">
        <v>4.7199999999999999E-2</v>
      </c>
      <c r="AA359" s="3"/>
      <c r="AB359" s="4">
        <v>4.41E-2</v>
      </c>
      <c r="AC359" s="4">
        <v>7.9299999999999995E-2</v>
      </c>
      <c r="AD359" s="4">
        <v>6.5199999999999994E-2</v>
      </c>
      <c r="AE359" s="4">
        <v>0.114</v>
      </c>
      <c r="AF359" s="3"/>
      <c r="AG359" s="3"/>
      <c r="AH359" s="4">
        <v>0.03</v>
      </c>
      <c r="AI359" s="4">
        <v>5.5399999999999998E-2</v>
      </c>
      <c r="AJ359" s="4">
        <v>6.5100000000000005E-2</v>
      </c>
      <c r="AK359" s="4">
        <v>7.5399999999999995E-2</v>
      </c>
      <c r="AL359" s="4">
        <v>6.7100000000000007E-2</v>
      </c>
      <c r="AM359" s="3"/>
      <c r="AN359" s="4">
        <v>5.8599999999999999E-2</v>
      </c>
      <c r="AO359" s="4">
        <v>1.7500000000000002E-2</v>
      </c>
      <c r="AP359" s="78">
        <v>29.9</v>
      </c>
    </row>
    <row r="360" spans="1:42">
      <c r="A360" s="8" t="s">
        <v>231</v>
      </c>
      <c r="B360" s="5"/>
      <c r="C360" s="2">
        <v>3.5300000000000002E-3</v>
      </c>
      <c r="D360" s="5"/>
      <c r="E360" s="5"/>
      <c r="F360" s="5"/>
      <c r="G360" s="5"/>
      <c r="H360" s="5"/>
      <c r="I360" s="2">
        <v>3.9399999999999999E-3</v>
      </c>
      <c r="J360" s="5"/>
      <c r="K360" s="5"/>
      <c r="L360" s="2">
        <v>2.3800000000000002E-3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2">
        <v>3.0000000000000001E-3</v>
      </c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2">
        <v>0</v>
      </c>
      <c r="AP360" s="77"/>
    </row>
    <row r="361" spans="1:42">
      <c r="A361" s="8" t="s">
        <v>232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4">
        <v>2.2100000000000002E-3</v>
      </c>
      <c r="AI361" s="3"/>
      <c r="AJ361" s="3"/>
      <c r="AK361" s="3"/>
      <c r="AL361" s="3"/>
      <c r="AM361" s="3"/>
      <c r="AN361" s="4">
        <v>2.2100000000000002E-3</v>
      </c>
      <c r="AO361" s="3"/>
      <c r="AP361" s="78">
        <v>0</v>
      </c>
    </row>
    <row r="362" spans="1:42">
      <c r="A362" s="8" t="s">
        <v>646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2">
        <v>0</v>
      </c>
      <c r="AP362" s="77"/>
    </row>
    <row r="363" spans="1:42">
      <c r="A363" s="8" t="s">
        <v>647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4">
        <v>0</v>
      </c>
      <c r="AP363" s="68"/>
    </row>
    <row r="364" spans="1:42">
      <c r="A364" s="8" t="s">
        <v>233</v>
      </c>
      <c r="B364" s="5"/>
      <c r="C364" s="2">
        <v>4.45E-3</v>
      </c>
      <c r="D364" s="2">
        <v>2.7399999999999998E-3</v>
      </c>
      <c r="E364" s="5"/>
      <c r="F364" s="5"/>
      <c r="G364" s="5"/>
      <c r="H364" s="2">
        <v>1.7899999999999999E-3</v>
      </c>
      <c r="I364" s="2">
        <v>3.64E-3</v>
      </c>
      <c r="J364" s="5"/>
      <c r="K364" s="5"/>
      <c r="L364" s="2">
        <v>2.8400000000000001E-3</v>
      </c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2">
        <v>2.5100000000000001E-3</v>
      </c>
      <c r="X364" s="5"/>
      <c r="Y364" s="5"/>
      <c r="Z364" s="5"/>
      <c r="AA364" s="5"/>
      <c r="AB364" s="2">
        <v>2.31E-3</v>
      </c>
      <c r="AC364" s="2">
        <v>1.0499999999999999E-3</v>
      </c>
      <c r="AD364" s="5"/>
      <c r="AE364" s="5"/>
      <c r="AF364" s="5"/>
      <c r="AG364" s="5"/>
      <c r="AH364" s="5"/>
      <c r="AI364" s="5"/>
      <c r="AJ364" s="2">
        <v>2.15E-3</v>
      </c>
      <c r="AK364" s="5"/>
      <c r="AL364" s="5"/>
      <c r="AM364" s="5"/>
      <c r="AN364" s="2">
        <v>2.15E-3</v>
      </c>
      <c r="AO364" s="5"/>
      <c r="AP364" s="79">
        <v>0</v>
      </c>
    </row>
    <row r="365" spans="1:42">
      <c r="A365" s="8" t="s">
        <v>234</v>
      </c>
      <c r="B365" s="3"/>
      <c r="C365" s="4">
        <v>3.4499999999999999E-3</v>
      </c>
      <c r="D365" s="4">
        <v>2.3900000000000002E-3</v>
      </c>
      <c r="E365" s="3"/>
      <c r="F365" s="3"/>
      <c r="G365" s="3"/>
      <c r="H365" s="4">
        <v>1.9499999999999999E-3</v>
      </c>
      <c r="I365" s="4">
        <v>1.8600000000000001E-3</v>
      </c>
      <c r="J365" s="3"/>
      <c r="K365" s="3"/>
      <c r="L365" s="4">
        <v>2.7299999999999998E-3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>
        <v>2.3500000000000001E-3</v>
      </c>
      <c r="X365" s="3"/>
      <c r="Y365" s="3"/>
      <c r="Z365" s="3"/>
      <c r="AA365" s="3"/>
      <c r="AB365" s="4">
        <v>2.7000000000000001E-3</v>
      </c>
      <c r="AC365" s="4">
        <v>1.25E-3</v>
      </c>
      <c r="AD365" s="3"/>
      <c r="AE365" s="3"/>
      <c r="AF365" s="3"/>
      <c r="AG365" s="3"/>
      <c r="AH365" s="4">
        <v>6.4199999999999999E-4</v>
      </c>
      <c r="AI365" s="3"/>
      <c r="AJ365" s="4">
        <v>1.8500000000000001E-3</v>
      </c>
      <c r="AK365" s="3"/>
      <c r="AL365" s="3"/>
      <c r="AM365" s="3"/>
      <c r="AN365" s="4">
        <v>1.24E-3</v>
      </c>
      <c r="AO365" s="4">
        <v>8.5099999999999998E-4</v>
      </c>
      <c r="AP365" s="78">
        <v>68.400000000000006</v>
      </c>
    </row>
    <row r="366" spans="1:42">
      <c r="A366" s="8" t="s">
        <v>235</v>
      </c>
      <c r="B366" s="2">
        <v>3.8600000000000002E-2</v>
      </c>
      <c r="C366" s="2">
        <v>3.7999999999999999E-2</v>
      </c>
      <c r="D366" s="2">
        <v>2.6700000000000002E-2</v>
      </c>
      <c r="E366" s="2">
        <v>6.3600000000000004E-2</v>
      </c>
      <c r="F366" s="2">
        <v>0.14899999999999999</v>
      </c>
      <c r="G366" s="2">
        <v>3.0499999999999999E-2</v>
      </c>
      <c r="H366" s="2">
        <v>3.8100000000000002E-2</v>
      </c>
      <c r="I366" s="2">
        <v>3.1899999999999998E-2</v>
      </c>
      <c r="J366" s="2">
        <v>3.7199999999999997E-2</v>
      </c>
      <c r="K366" s="2">
        <v>4.7300000000000002E-2</v>
      </c>
      <c r="L366" s="2">
        <v>5.6399999999999999E-2</v>
      </c>
      <c r="M366" s="2">
        <v>4.3700000000000003E-2</v>
      </c>
      <c r="N366" s="2">
        <v>4.2900000000000001E-2</v>
      </c>
      <c r="O366" s="2">
        <v>5.8599999999999999E-2</v>
      </c>
      <c r="P366" s="2">
        <v>6.9800000000000001E-2</v>
      </c>
      <c r="Q366" s="2">
        <v>0.13900000000000001</v>
      </c>
      <c r="R366" s="2">
        <v>7.0300000000000001E-2</v>
      </c>
      <c r="S366" s="2">
        <v>3.5299999999999998E-2</v>
      </c>
      <c r="T366" s="2">
        <v>4.6399999999999997E-2</v>
      </c>
      <c r="U366" s="2">
        <v>3.3700000000000001E-2</v>
      </c>
      <c r="V366" s="2">
        <v>6.8199999999999997E-2</v>
      </c>
      <c r="W366" s="2">
        <v>9.6100000000000005E-2</v>
      </c>
      <c r="X366" s="2">
        <v>7.1099999999999997E-2</v>
      </c>
      <c r="Y366" s="2">
        <v>0.105</v>
      </c>
      <c r="Z366" s="2">
        <v>6.13E-2</v>
      </c>
      <c r="AA366" s="5"/>
      <c r="AB366" s="2">
        <v>4.6300000000000001E-2</v>
      </c>
      <c r="AC366" s="2">
        <v>9.2499999999999999E-2</v>
      </c>
      <c r="AD366" s="2">
        <v>3.4299999999999997E-2</v>
      </c>
      <c r="AE366" s="2">
        <v>0.16800000000000001</v>
      </c>
      <c r="AF366" s="5"/>
      <c r="AG366" s="5"/>
      <c r="AH366" s="2">
        <v>5.9299999999999999E-2</v>
      </c>
      <c r="AI366" s="2">
        <v>4.8800000000000003E-2</v>
      </c>
      <c r="AJ366" s="2">
        <v>5.2400000000000002E-2</v>
      </c>
      <c r="AK366" s="2">
        <v>0.184</v>
      </c>
      <c r="AL366" s="2">
        <v>4.8000000000000001E-2</v>
      </c>
      <c r="AM366" s="5"/>
      <c r="AN366" s="2">
        <v>7.85E-2</v>
      </c>
      <c r="AO366" s="2">
        <v>5.9200000000000003E-2</v>
      </c>
      <c r="AP366" s="79">
        <v>75.400000000000006</v>
      </c>
    </row>
    <row r="367" spans="1:42">
      <c r="A367" s="8" t="s">
        <v>648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4">
        <v>0</v>
      </c>
      <c r="AP367" s="68"/>
    </row>
    <row r="368" spans="1:42">
      <c r="A368" s="8" t="s">
        <v>649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2">
        <v>0</v>
      </c>
      <c r="AP368" s="77"/>
    </row>
    <row r="369" spans="1:42">
      <c r="A369" s="8" t="s">
        <v>650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4">
        <v>0</v>
      </c>
      <c r="AP369" s="68"/>
    </row>
    <row r="370" spans="1:42">
      <c r="A370" s="8" t="s">
        <v>651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2">
        <v>0</v>
      </c>
      <c r="AP370" s="77"/>
    </row>
    <row r="371" spans="1:42">
      <c r="A371" s="8" t="s">
        <v>652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4">
        <v>3.2499999999999999E-3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4">
        <v>0</v>
      </c>
      <c r="AP371" s="68"/>
    </row>
    <row r="372" spans="1:42">
      <c r="A372" s="8" t="s">
        <v>653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2">
        <v>0</v>
      </c>
      <c r="AP372" s="77"/>
    </row>
    <row r="373" spans="1:42">
      <c r="A373" s="8" t="s">
        <v>236</v>
      </c>
      <c r="B373" s="4">
        <v>0.46300000000000002</v>
      </c>
      <c r="C373" s="4">
        <v>0.44500000000000001</v>
      </c>
      <c r="D373" s="4">
        <v>0.186</v>
      </c>
      <c r="E373" s="4">
        <v>0.39700000000000002</v>
      </c>
      <c r="F373" s="4">
        <v>0.433</v>
      </c>
      <c r="G373" s="4">
        <v>0.29899999999999999</v>
      </c>
      <c r="H373" s="4">
        <v>0.59099999999999997</v>
      </c>
      <c r="I373" s="4">
        <v>0.51900000000000002</v>
      </c>
      <c r="J373" s="4">
        <v>0.64300000000000002</v>
      </c>
      <c r="K373" s="4">
        <v>0.69699999999999995</v>
      </c>
      <c r="L373" s="4">
        <v>0.442</v>
      </c>
      <c r="M373" s="4">
        <v>0.71199999999999997</v>
      </c>
      <c r="N373" s="4">
        <v>0.39400000000000002</v>
      </c>
      <c r="O373" s="4">
        <v>0.245</v>
      </c>
      <c r="P373" s="4">
        <v>0.38500000000000001</v>
      </c>
      <c r="Q373" s="4">
        <v>0.72499999999999998</v>
      </c>
      <c r="R373" s="4">
        <v>0.65800000000000003</v>
      </c>
      <c r="S373" s="4">
        <v>0.61299999999999999</v>
      </c>
      <c r="T373" s="4">
        <v>1.56</v>
      </c>
      <c r="U373" s="4">
        <v>0.54400000000000004</v>
      </c>
      <c r="V373" s="4">
        <v>0.71099999999999997</v>
      </c>
      <c r="W373" s="4">
        <v>0.65200000000000002</v>
      </c>
      <c r="X373" s="4">
        <v>0.47499999999999998</v>
      </c>
      <c r="Y373" s="4">
        <v>0.55000000000000004</v>
      </c>
      <c r="Z373" s="4">
        <v>0.61</v>
      </c>
      <c r="AA373" s="3"/>
      <c r="AB373" s="4">
        <v>0.47699999999999998</v>
      </c>
      <c r="AC373" s="4">
        <v>0.41</v>
      </c>
      <c r="AD373" s="4">
        <v>0.45600000000000002</v>
      </c>
      <c r="AE373" s="4">
        <v>0.44</v>
      </c>
      <c r="AF373" s="3"/>
      <c r="AG373" s="3"/>
      <c r="AH373" s="3"/>
      <c r="AI373" s="4">
        <v>0.39600000000000002</v>
      </c>
      <c r="AJ373" s="4">
        <v>0.51200000000000001</v>
      </c>
      <c r="AK373" s="4">
        <v>0.73499999999999999</v>
      </c>
      <c r="AL373" s="4">
        <v>0.57599999999999996</v>
      </c>
      <c r="AM373" s="3"/>
      <c r="AN373" s="4">
        <v>0.55500000000000005</v>
      </c>
      <c r="AO373" s="4">
        <v>0.14199999999999999</v>
      </c>
      <c r="AP373" s="78">
        <v>25.5</v>
      </c>
    </row>
    <row r="374" spans="1:42">
      <c r="A374" s="8" t="s">
        <v>237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2">
        <v>2.6900000000000001E-3</v>
      </c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2">
        <v>2.5100000000000001E-3</v>
      </c>
      <c r="AC374" s="2">
        <v>1.07E-3</v>
      </c>
      <c r="AD374" s="5"/>
      <c r="AE374" s="5"/>
      <c r="AF374" s="5"/>
      <c r="AG374" s="5"/>
      <c r="AH374" s="5"/>
      <c r="AI374" s="5"/>
      <c r="AJ374" s="2">
        <v>1.41E-3</v>
      </c>
      <c r="AK374" s="5"/>
      <c r="AL374" s="5"/>
      <c r="AM374" s="5"/>
      <c r="AN374" s="2">
        <v>1.41E-3</v>
      </c>
      <c r="AO374" s="5"/>
      <c r="AP374" s="79">
        <v>0</v>
      </c>
    </row>
    <row r="375" spans="1:42">
      <c r="A375" s="8" t="s">
        <v>654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4">
        <v>0</v>
      </c>
      <c r="AP375" s="68"/>
    </row>
    <row r="376" spans="1:42">
      <c r="A376" s="8" t="s">
        <v>238</v>
      </c>
      <c r="B376" s="2">
        <v>0.01</v>
      </c>
      <c r="C376" s="2">
        <v>1.14E-2</v>
      </c>
      <c r="D376" s="2">
        <v>7.5700000000000003E-3</v>
      </c>
      <c r="E376" s="5"/>
      <c r="F376" s="5"/>
      <c r="G376" s="2">
        <v>6.8500000000000002E-3</v>
      </c>
      <c r="H376" s="2">
        <v>1.09E-2</v>
      </c>
      <c r="I376" s="2">
        <v>9.0100000000000006E-3</v>
      </c>
      <c r="J376" s="5"/>
      <c r="K376" s="2">
        <v>1.49E-2</v>
      </c>
      <c r="L376" s="2">
        <v>9.2599999999999991E-3</v>
      </c>
      <c r="M376" s="2">
        <v>1.67E-2</v>
      </c>
      <c r="N376" s="2">
        <v>1.2E-2</v>
      </c>
      <c r="O376" s="2">
        <v>1.21E-2</v>
      </c>
      <c r="P376" s="2">
        <v>1.04E-2</v>
      </c>
      <c r="Q376" s="5"/>
      <c r="R376" s="2">
        <v>9.6799999999999994E-3</v>
      </c>
      <c r="S376" s="2">
        <v>2.1600000000000001E-2</v>
      </c>
      <c r="T376" s="2">
        <v>1.2999999999999999E-2</v>
      </c>
      <c r="U376" s="2">
        <v>1.49E-2</v>
      </c>
      <c r="V376" s="2">
        <v>2.0299999999999999E-2</v>
      </c>
      <c r="W376" s="2">
        <v>1.52E-2</v>
      </c>
      <c r="X376" s="2">
        <v>1.18E-2</v>
      </c>
      <c r="Y376" s="2">
        <v>1.11E-2</v>
      </c>
      <c r="Z376" s="2">
        <v>1.5900000000000001E-2</v>
      </c>
      <c r="AA376" s="5"/>
      <c r="AB376" s="2">
        <v>8.8400000000000006E-3</v>
      </c>
      <c r="AC376" s="2">
        <v>1.12E-2</v>
      </c>
      <c r="AD376" s="2">
        <v>6.8199999999999997E-3</v>
      </c>
      <c r="AE376" s="5"/>
      <c r="AF376" s="5"/>
      <c r="AG376" s="5"/>
      <c r="AH376" s="5"/>
      <c r="AI376" s="2">
        <v>1.18E-2</v>
      </c>
      <c r="AJ376" s="2">
        <v>1.15E-2</v>
      </c>
      <c r="AK376" s="2">
        <v>0.02</v>
      </c>
      <c r="AL376" s="2">
        <v>1.26E-2</v>
      </c>
      <c r="AM376" s="5"/>
      <c r="AN376" s="2">
        <v>1.4E-2</v>
      </c>
      <c r="AO376" s="2">
        <v>4.0499999999999998E-3</v>
      </c>
      <c r="AP376" s="79">
        <v>29</v>
      </c>
    </row>
    <row r="377" spans="1:42">
      <c r="A377" s="8" t="s">
        <v>655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4">
        <v>3.8600000000000002E-2</v>
      </c>
      <c r="X377" s="4">
        <v>2.7300000000000001E-2</v>
      </c>
      <c r="Y377" s="4">
        <v>3.1E-2</v>
      </c>
      <c r="Z377" s="4">
        <v>3.4200000000000001E-2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4">
        <v>0</v>
      </c>
      <c r="AP377" s="68"/>
    </row>
    <row r="378" spans="1:42">
      <c r="A378" s="8" t="s">
        <v>656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2">
        <v>0</v>
      </c>
      <c r="AP378" s="77"/>
    </row>
    <row r="379" spans="1:42">
      <c r="A379" s="8" t="s">
        <v>239</v>
      </c>
      <c r="B379" s="3"/>
      <c r="C379" s="4">
        <v>9.1199999999999996E-3</v>
      </c>
      <c r="D379" s="4">
        <v>9.0299999999999998E-3</v>
      </c>
      <c r="E379" s="3"/>
      <c r="F379" s="3"/>
      <c r="G379" s="4">
        <v>2.7299999999999998E-3</v>
      </c>
      <c r="H379" s="4">
        <v>5.4200000000000003E-3</v>
      </c>
      <c r="I379" s="4">
        <v>5.96E-3</v>
      </c>
      <c r="J379" s="3"/>
      <c r="K379" s="4">
        <v>3.2100000000000002E-3</v>
      </c>
      <c r="L379" s="4">
        <v>5.4000000000000003E-3</v>
      </c>
      <c r="M379" s="3"/>
      <c r="N379" s="3"/>
      <c r="O379" s="3"/>
      <c r="P379" s="3"/>
      <c r="Q379" s="3"/>
      <c r="R379" s="4">
        <v>3.2000000000000002E-3</v>
      </c>
      <c r="S379" s="3"/>
      <c r="T379" s="3"/>
      <c r="U379" s="3"/>
      <c r="V379" s="3"/>
      <c r="W379" s="4">
        <v>2.7399999999999998E-3</v>
      </c>
      <c r="X379" s="3"/>
      <c r="Y379" s="3"/>
      <c r="Z379" s="4">
        <v>1.3500000000000001E-3</v>
      </c>
      <c r="AA379" s="3"/>
      <c r="AB379" s="4">
        <v>2.8800000000000002E-3</v>
      </c>
      <c r="AC379" s="4">
        <v>3.47E-3</v>
      </c>
      <c r="AD379" s="4">
        <v>1.74E-3</v>
      </c>
      <c r="AE379" s="4">
        <v>4.6899999999999997E-3</v>
      </c>
      <c r="AF379" s="3"/>
      <c r="AG379" s="3"/>
      <c r="AH379" s="3"/>
      <c r="AI379" s="3"/>
      <c r="AJ379" s="4">
        <v>3.9899999999999996E-3</v>
      </c>
      <c r="AK379" s="3"/>
      <c r="AL379" s="4">
        <v>1.6900000000000001E-3</v>
      </c>
      <c r="AM379" s="3"/>
      <c r="AN379" s="4">
        <v>2.8400000000000001E-3</v>
      </c>
      <c r="AO379" s="4">
        <v>1.6299999999999999E-3</v>
      </c>
      <c r="AP379" s="78">
        <v>57.4</v>
      </c>
    </row>
    <row r="380" spans="1:42">
      <c r="A380" s="8" t="s">
        <v>657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2">
        <v>0</v>
      </c>
      <c r="AP380" s="77"/>
    </row>
    <row r="381" spans="1:42">
      <c r="A381" s="8" t="s">
        <v>658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4">
        <v>0</v>
      </c>
      <c r="AP381" s="68"/>
    </row>
    <row r="382" spans="1:42">
      <c r="A382" s="8" t="s">
        <v>659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2">
        <v>0</v>
      </c>
      <c r="AP382" s="77"/>
    </row>
    <row r="383" spans="1:42">
      <c r="A383" s="8" t="s">
        <v>240</v>
      </c>
      <c r="B383" s="4">
        <v>2.2700000000000001E-2</v>
      </c>
      <c r="C383" s="4">
        <v>1.38E-2</v>
      </c>
      <c r="D383" s="4">
        <v>1.2999999999999999E-2</v>
      </c>
      <c r="E383" s="3"/>
      <c r="F383" s="4">
        <v>1.34E-2</v>
      </c>
      <c r="G383" s="4">
        <v>1.38E-2</v>
      </c>
      <c r="H383" s="4">
        <v>2.2200000000000001E-2</v>
      </c>
      <c r="I383" s="4">
        <v>2.3E-2</v>
      </c>
      <c r="J383" s="4">
        <v>2.6800000000000001E-2</v>
      </c>
      <c r="K383" s="4">
        <v>1.7000000000000001E-2</v>
      </c>
      <c r="L383" s="4">
        <v>2.4400000000000002E-2</v>
      </c>
      <c r="M383" s="4">
        <v>1.9199999999999998E-2</v>
      </c>
      <c r="N383" s="4">
        <v>2.8000000000000001E-2</v>
      </c>
      <c r="O383" s="4">
        <v>1.4999999999999999E-2</v>
      </c>
      <c r="P383" s="4">
        <v>1.8800000000000001E-2</v>
      </c>
      <c r="Q383" s="3"/>
      <c r="R383" s="4">
        <v>1.9300000000000001E-2</v>
      </c>
      <c r="S383" s="4">
        <v>3.0099999999999998E-2</v>
      </c>
      <c r="T383" s="4">
        <v>2.4500000000000001E-2</v>
      </c>
      <c r="U383" s="4">
        <v>2.9399999999999999E-2</v>
      </c>
      <c r="V383" s="4">
        <v>3.2800000000000003E-2</v>
      </c>
      <c r="W383" s="4">
        <v>3.15E-2</v>
      </c>
      <c r="X383" s="4">
        <v>2.64E-2</v>
      </c>
      <c r="Y383" s="4">
        <v>2.9000000000000001E-2</v>
      </c>
      <c r="Z383" s="4">
        <v>2.7400000000000001E-2</v>
      </c>
      <c r="AA383" s="3"/>
      <c r="AB383" s="4">
        <v>1.3899999999999999E-2</v>
      </c>
      <c r="AC383" s="4">
        <v>2.1000000000000001E-2</v>
      </c>
      <c r="AD383" s="4">
        <v>3.09E-2</v>
      </c>
      <c r="AE383" s="4">
        <v>5.2499999999999998E-2</v>
      </c>
      <c r="AF383" s="3"/>
      <c r="AG383" s="3"/>
      <c r="AH383" s="4">
        <v>2.3900000000000001E-2</v>
      </c>
      <c r="AI383" s="4">
        <v>1.7100000000000001E-2</v>
      </c>
      <c r="AJ383" s="4">
        <v>0.04</v>
      </c>
      <c r="AK383" s="4">
        <v>2.52E-2</v>
      </c>
      <c r="AL383" s="4">
        <v>2.35E-2</v>
      </c>
      <c r="AM383" s="3"/>
      <c r="AN383" s="4">
        <v>2.5999999999999999E-2</v>
      </c>
      <c r="AO383" s="4">
        <v>8.4600000000000005E-3</v>
      </c>
      <c r="AP383" s="78">
        <v>32.6</v>
      </c>
    </row>
    <row r="384" spans="1:42">
      <c r="A384" s="8" t="s">
        <v>660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2">
        <v>0</v>
      </c>
      <c r="AP384" s="77"/>
    </row>
    <row r="385" spans="1:42">
      <c r="A385" s="8" t="s">
        <v>661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4">
        <v>0</v>
      </c>
      <c r="AP385" s="68"/>
    </row>
    <row r="386" spans="1:42">
      <c r="A386" s="8" t="s">
        <v>662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2">
        <v>0</v>
      </c>
      <c r="AP386" s="77"/>
    </row>
    <row r="387" spans="1:42">
      <c r="A387" s="8" t="s">
        <v>241</v>
      </c>
      <c r="B387" s="4">
        <v>3.6700000000000003E-2</v>
      </c>
      <c r="C387" s="4">
        <v>5.3100000000000001E-2</v>
      </c>
      <c r="D387" s="4">
        <v>4.0399999999999998E-2</v>
      </c>
      <c r="E387" s="4">
        <v>0.125</v>
      </c>
      <c r="F387" s="4">
        <v>0.122</v>
      </c>
      <c r="G387" s="4">
        <v>5.9799999999999999E-2</v>
      </c>
      <c r="H387" s="4">
        <v>0.05</v>
      </c>
      <c r="I387" s="4">
        <v>4.3900000000000002E-2</v>
      </c>
      <c r="J387" s="4">
        <v>4.8500000000000001E-2</v>
      </c>
      <c r="K387" s="4">
        <v>3.1399999999999997E-2</v>
      </c>
      <c r="L387" s="4">
        <v>6.0299999999999999E-2</v>
      </c>
      <c r="M387" s="4">
        <v>4.3099999999999999E-2</v>
      </c>
      <c r="N387" s="4">
        <v>4.7E-2</v>
      </c>
      <c r="O387" s="4">
        <v>8.4400000000000003E-2</v>
      </c>
      <c r="P387" s="4">
        <v>5.2699999999999997E-2</v>
      </c>
      <c r="Q387" s="4">
        <v>6.5600000000000006E-2</v>
      </c>
      <c r="R387" s="4">
        <v>6.6500000000000004E-2</v>
      </c>
      <c r="S387" s="4">
        <v>4.1000000000000002E-2</v>
      </c>
      <c r="T387" s="4">
        <v>4.6600000000000003E-2</v>
      </c>
      <c r="U387" s="4">
        <v>3.61E-2</v>
      </c>
      <c r="V387" s="4">
        <v>4.6899999999999997E-2</v>
      </c>
      <c r="W387" s="4">
        <v>6.6699999999999995E-2</v>
      </c>
      <c r="X387" s="4">
        <v>4.7899999999999998E-2</v>
      </c>
      <c r="Y387" s="4">
        <v>6.13E-2</v>
      </c>
      <c r="Z387" s="4">
        <v>4.6100000000000002E-2</v>
      </c>
      <c r="AA387" s="3"/>
      <c r="AB387" s="4">
        <v>4.4699999999999997E-2</v>
      </c>
      <c r="AC387" s="4">
        <v>6.4799999999999996E-2</v>
      </c>
      <c r="AD387" s="4">
        <v>4.4400000000000002E-2</v>
      </c>
      <c r="AE387" s="4">
        <v>5.6399999999999999E-2</v>
      </c>
      <c r="AF387" s="3"/>
      <c r="AG387" s="3"/>
      <c r="AH387" s="4">
        <v>5.57E-2</v>
      </c>
      <c r="AI387" s="4">
        <v>5.1700000000000003E-2</v>
      </c>
      <c r="AJ387" s="4">
        <v>6.5699999999999995E-2</v>
      </c>
      <c r="AK387" s="4">
        <v>5.4800000000000001E-2</v>
      </c>
      <c r="AL387" s="4">
        <v>5.3499999999999999E-2</v>
      </c>
      <c r="AM387" s="3"/>
      <c r="AN387" s="4">
        <v>5.6300000000000003E-2</v>
      </c>
      <c r="AO387" s="4">
        <v>5.4799999999999996E-3</v>
      </c>
      <c r="AP387" s="78">
        <v>9.74</v>
      </c>
    </row>
    <row r="388" spans="1:42">
      <c r="A388" s="8" t="s">
        <v>663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2">
        <v>3.9399999999999999E-3</v>
      </c>
      <c r="U388" s="2">
        <v>2.7799999999999999E-3</v>
      </c>
      <c r="V388" s="2">
        <v>2.8500000000000001E-3</v>
      </c>
      <c r="W388" s="2">
        <v>4.1999999999999997E-3</v>
      </c>
      <c r="X388" s="2">
        <v>2.66E-3</v>
      </c>
      <c r="Y388" s="2">
        <v>1.9599999999999999E-3</v>
      </c>
      <c r="Z388" s="5"/>
      <c r="AA388" s="5"/>
      <c r="AB388" s="2">
        <v>5.62E-3</v>
      </c>
      <c r="AC388" s="2">
        <v>4.7699999999999999E-3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2">
        <v>0</v>
      </c>
      <c r="AP388" s="77"/>
    </row>
    <row r="389" spans="1:42">
      <c r="A389" s="8" t="s">
        <v>664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4">
        <v>3.5999999999999999E-3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4">
        <v>0</v>
      </c>
      <c r="AP389" s="68"/>
    </row>
    <row r="390" spans="1:42">
      <c r="A390" s="8" t="s">
        <v>665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2">
        <v>0</v>
      </c>
      <c r="AP390" s="77"/>
    </row>
    <row r="391" spans="1:42">
      <c r="A391" s="8" t="s">
        <v>242</v>
      </c>
      <c r="B391" s="3"/>
      <c r="C391" s="4">
        <v>6.6100000000000004E-3</v>
      </c>
      <c r="D391" s="4">
        <v>3.7399999999999998E-3</v>
      </c>
      <c r="E391" s="3"/>
      <c r="F391" s="3"/>
      <c r="G391" s="3"/>
      <c r="H391" s="4">
        <v>2.47E-3</v>
      </c>
      <c r="I391" s="3"/>
      <c r="J391" s="3"/>
      <c r="K391" s="3"/>
      <c r="L391" s="4">
        <v>2.3500000000000001E-3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4">
        <v>3.31E-3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4">
        <v>1.17E-3</v>
      </c>
      <c r="AK391" s="3"/>
      <c r="AL391" s="3"/>
      <c r="AM391" s="3"/>
      <c r="AN391" s="4">
        <v>1.17E-3</v>
      </c>
      <c r="AO391" s="3"/>
      <c r="AP391" s="78">
        <v>0</v>
      </c>
    </row>
    <row r="392" spans="1:42">
      <c r="A392" s="8" t="s">
        <v>666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2">
        <v>0</v>
      </c>
      <c r="AP392" s="77"/>
    </row>
    <row r="393" spans="1:42">
      <c r="A393" s="8" t="s">
        <v>667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4">
        <v>2.2599999999999999E-3</v>
      </c>
      <c r="X393" s="3"/>
      <c r="Y393" s="3"/>
      <c r="Z393" s="3"/>
      <c r="AA393" s="3"/>
      <c r="AB393" s="4">
        <v>3.16E-3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4">
        <v>0</v>
      </c>
      <c r="AP393" s="68"/>
    </row>
    <row r="394" spans="1:42">
      <c r="A394" s="8" t="s">
        <v>668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2">
        <v>0</v>
      </c>
      <c r="AP394" s="77"/>
    </row>
    <row r="395" spans="1:42">
      <c r="A395" s="8" t="s">
        <v>669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4">
        <v>0</v>
      </c>
      <c r="AP395" s="68"/>
    </row>
    <row r="396" spans="1:42">
      <c r="A396" s="8" t="s">
        <v>243</v>
      </c>
      <c r="B396" s="5"/>
      <c r="C396" s="2">
        <v>1.91E-3</v>
      </c>
      <c r="D396" s="5"/>
      <c r="E396" s="5"/>
      <c r="F396" s="5"/>
      <c r="G396" s="5"/>
      <c r="H396" s="5"/>
      <c r="I396" s="2">
        <v>8.12E-4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2">
        <v>1.1999999999999999E-3</v>
      </c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2">
        <v>7.7800000000000005E-4</v>
      </c>
      <c r="AK396" s="5"/>
      <c r="AL396" s="5"/>
      <c r="AM396" s="5"/>
      <c r="AN396" s="2">
        <v>7.7800000000000005E-4</v>
      </c>
      <c r="AO396" s="5"/>
      <c r="AP396" s="79">
        <v>0</v>
      </c>
    </row>
    <row r="397" spans="1:42">
      <c r="A397" s="8" t="s">
        <v>670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4">
        <v>0</v>
      </c>
      <c r="AP397" s="68"/>
    </row>
    <row r="398" spans="1:42">
      <c r="A398" s="8" t="s">
        <v>244</v>
      </c>
      <c r="B398" s="2">
        <v>1.6199999999999999E-2</v>
      </c>
      <c r="C398" s="2">
        <v>1.5900000000000001E-2</v>
      </c>
      <c r="D398" s="5"/>
      <c r="E398" s="5"/>
      <c r="F398" s="5"/>
      <c r="G398" s="5"/>
      <c r="H398" s="2">
        <v>1.8100000000000002E-2</v>
      </c>
      <c r="I398" s="2">
        <v>1.34E-2</v>
      </c>
      <c r="J398" s="2">
        <v>1.1599999999999999E-2</v>
      </c>
      <c r="K398" s="2">
        <v>2.69E-2</v>
      </c>
      <c r="L398" s="2">
        <v>2.4500000000000001E-2</v>
      </c>
      <c r="M398" s="2">
        <v>3.27E-2</v>
      </c>
      <c r="N398" s="2">
        <v>6.9499999999999996E-3</v>
      </c>
      <c r="O398" s="2">
        <v>4.3600000000000002E-3</v>
      </c>
      <c r="P398" s="2">
        <v>1.0999999999999999E-2</v>
      </c>
      <c r="Q398" s="2">
        <v>9.1500000000000001E-3</v>
      </c>
      <c r="R398" s="2">
        <v>1.9199999999999998E-2</v>
      </c>
      <c r="S398" s="2">
        <v>1.7500000000000002E-2</v>
      </c>
      <c r="T398" s="5"/>
      <c r="U398" s="2">
        <v>1.7600000000000001E-2</v>
      </c>
      <c r="V398" s="2">
        <v>1.54E-2</v>
      </c>
      <c r="W398" s="2">
        <v>2.8000000000000001E-2</v>
      </c>
      <c r="X398" s="2">
        <v>1.9E-2</v>
      </c>
      <c r="Y398" s="2">
        <v>1.5599999999999999E-2</v>
      </c>
      <c r="Z398" s="2">
        <v>2.7699999999999999E-2</v>
      </c>
      <c r="AA398" s="5"/>
      <c r="AB398" s="2">
        <v>1.34E-2</v>
      </c>
      <c r="AC398" s="2">
        <v>2.1700000000000001E-2</v>
      </c>
      <c r="AD398" s="2">
        <v>5.57E-2</v>
      </c>
      <c r="AE398" s="2">
        <v>2.76E-2</v>
      </c>
      <c r="AF398" s="5"/>
      <c r="AG398" s="5"/>
      <c r="AH398" s="5"/>
      <c r="AI398" s="2">
        <v>7.0400000000000003E-3</v>
      </c>
      <c r="AJ398" s="2">
        <v>1.41E-2</v>
      </c>
      <c r="AK398" s="2">
        <v>2.4400000000000002E-2</v>
      </c>
      <c r="AL398" s="2">
        <v>9.2800000000000001E-3</v>
      </c>
      <c r="AM398" s="5"/>
      <c r="AN398" s="2">
        <v>1.37E-2</v>
      </c>
      <c r="AO398" s="2">
        <v>7.7299999999999999E-3</v>
      </c>
      <c r="AP398" s="79">
        <v>56.3</v>
      </c>
    </row>
    <row r="399" spans="1:42">
      <c r="A399" s="8" t="s">
        <v>671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4">
        <v>5.0400000000000002E-3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4">
        <v>0</v>
      </c>
      <c r="AP399" s="68"/>
    </row>
    <row r="400" spans="1:42">
      <c r="A400" s="8" t="s">
        <v>245</v>
      </c>
      <c r="B400" s="2">
        <v>8.6699999999999999E-2</v>
      </c>
      <c r="C400" s="2">
        <v>5.3900000000000003E-2</v>
      </c>
      <c r="D400" s="2">
        <v>3.1E-2</v>
      </c>
      <c r="E400" s="2">
        <v>4.1799999999999997E-2</v>
      </c>
      <c r="F400" s="2">
        <v>0.114</v>
      </c>
      <c r="G400" s="2">
        <v>2.2499999999999999E-2</v>
      </c>
      <c r="H400" s="2">
        <v>6.4600000000000005E-2</v>
      </c>
      <c r="I400" s="2">
        <v>6.54E-2</v>
      </c>
      <c r="J400" s="2">
        <v>6.4299999999999996E-2</v>
      </c>
      <c r="K400" s="2">
        <v>0.106</v>
      </c>
      <c r="L400" s="2">
        <v>5.2999999999999999E-2</v>
      </c>
      <c r="M400" s="2">
        <v>8.0600000000000005E-2</v>
      </c>
      <c r="N400" s="2">
        <v>5.1499999999999997E-2</v>
      </c>
      <c r="O400" s="2">
        <v>3.7100000000000001E-2</v>
      </c>
      <c r="P400" s="2">
        <v>7.8100000000000003E-2</v>
      </c>
      <c r="Q400" s="2">
        <v>2.8000000000000001E-2</v>
      </c>
      <c r="R400" s="2">
        <v>5.1700000000000003E-2</v>
      </c>
      <c r="S400" s="2">
        <v>9.5899999999999999E-2</v>
      </c>
      <c r="T400" s="2">
        <v>0.13600000000000001</v>
      </c>
      <c r="U400" s="2">
        <v>7.2099999999999997E-2</v>
      </c>
      <c r="V400" s="2">
        <v>7.4899999999999994E-2</v>
      </c>
      <c r="W400" s="2">
        <v>0.111</v>
      </c>
      <c r="X400" s="2">
        <v>9.2799999999999994E-2</v>
      </c>
      <c r="Y400" s="2">
        <v>9.3700000000000006E-2</v>
      </c>
      <c r="Z400" s="2">
        <v>0.09</v>
      </c>
      <c r="AA400" s="5"/>
      <c r="AB400" s="2">
        <v>3.73E-2</v>
      </c>
      <c r="AC400" s="2">
        <v>6.9000000000000006E-2</v>
      </c>
      <c r="AD400" s="2">
        <v>6.5199999999999994E-2</v>
      </c>
      <c r="AE400" s="2">
        <v>0.14699999999999999</v>
      </c>
      <c r="AF400" s="5"/>
      <c r="AG400" s="5"/>
      <c r="AH400" s="2">
        <v>4.3400000000000001E-2</v>
      </c>
      <c r="AI400" s="2">
        <v>6.2399999999999997E-2</v>
      </c>
      <c r="AJ400" s="2">
        <v>5.7500000000000002E-2</v>
      </c>
      <c r="AK400" s="2">
        <v>8.8800000000000004E-2</v>
      </c>
      <c r="AL400" s="2">
        <v>3.2099999999999997E-2</v>
      </c>
      <c r="AM400" s="5"/>
      <c r="AN400" s="2">
        <v>5.6800000000000003E-2</v>
      </c>
      <c r="AO400" s="2">
        <v>2.1499999999999998E-2</v>
      </c>
      <c r="AP400" s="79">
        <v>37.700000000000003</v>
      </c>
    </row>
    <row r="401" spans="1:42">
      <c r="A401" s="8" t="s">
        <v>672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4">
        <v>0</v>
      </c>
      <c r="AP401" s="68"/>
    </row>
    <row r="402" spans="1:42">
      <c r="A402" s="8" t="s">
        <v>673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2">
        <v>0</v>
      </c>
      <c r="AP402" s="77"/>
    </row>
    <row r="403" spans="1:42">
      <c r="A403" s="8" t="s">
        <v>674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4">
        <v>0</v>
      </c>
      <c r="AP403" s="68"/>
    </row>
    <row r="404" spans="1:42">
      <c r="A404" s="8" t="s">
        <v>675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2">
        <v>0</v>
      </c>
      <c r="AP404" s="77"/>
    </row>
    <row r="405" spans="1:42">
      <c r="A405" s="8" t="s">
        <v>246</v>
      </c>
      <c r="B405" s="3"/>
      <c r="C405" s="4">
        <v>2.1099999999999999E-3</v>
      </c>
      <c r="D405" s="3"/>
      <c r="E405" s="3"/>
      <c r="F405" s="3"/>
      <c r="G405" s="3"/>
      <c r="H405" s="3"/>
      <c r="I405" s="3"/>
      <c r="J405" s="3"/>
      <c r="K405" s="3"/>
      <c r="L405" s="4">
        <v>3.0999999999999999E-3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4">
        <v>2.3500000000000001E-3</v>
      </c>
      <c r="X405" s="3"/>
      <c r="Y405" s="3"/>
      <c r="Z405" s="3"/>
      <c r="AA405" s="3"/>
      <c r="AB405" s="4">
        <v>2.32E-3</v>
      </c>
      <c r="AC405" s="3"/>
      <c r="AD405" s="3"/>
      <c r="AE405" s="3"/>
      <c r="AF405" s="3"/>
      <c r="AG405" s="3"/>
      <c r="AH405" s="3"/>
      <c r="AI405" s="3"/>
      <c r="AJ405" s="4">
        <v>2.3900000000000002E-3</v>
      </c>
      <c r="AK405" s="3"/>
      <c r="AL405" s="3"/>
      <c r="AM405" s="3"/>
      <c r="AN405" s="4">
        <v>2.3900000000000002E-3</v>
      </c>
      <c r="AO405" s="3"/>
      <c r="AP405" s="78">
        <v>0</v>
      </c>
    </row>
    <row r="406" spans="1:42">
      <c r="A406" s="8" t="s">
        <v>247</v>
      </c>
      <c r="B406" s="2">
        <v>3.4500000000000003E-2</v>
      </c>
      <c r="C406" s="2">
        <v>3.3099999999999997E-2</v>
      </c>
      <c r="D406" s="2">
        <v>1.9699999999999999E-2</v>
      </c>
      <c r="E406" s="2">
        <v>7.4899999999999994E-2</v>
      </c>
      <c r="F406" s="2">
        <v>0.107</v>
      </c>
      <c r="G406" s="2">
        <v>1.7000000000000001E-2</v>
      </c>
      <c r="H406" s="2">
        <v>4.4600000000000001E-2</v>
      </c>
      <c r="I406" s="2">
        <v>3.1899999999999998E-2</v>
      </c>
      <c r="J406" s="2">
        <v>3.8899999999999997E-2</v>
      </c>
      <c r="K406" s="2">
        <v>6.8900000000000003E-2</v>
      </c>
      <c r="L406" s="2">
        <v>5.1299999999999998E-2</v>
      </c>
      <c r="M406" s="2">
        <v>8.4699999999999998E-2</v>
      </c>
      <c r="N406" s="2">
        <v>4.5900000000000003E-2</v>
      </c>
      <c r="O406" s="2">
        <v>7.2300000000000003E-2</v>
      </c>
      <c r="P406" s="2">
        <v>3.7900000000000003E-2</v>
      </c>
      <c r="Q406" s="2">
        <v>9.5699999999999993E-2</v>
      </c>
      <c r="R406" s="2">
        <v>3.1800000000000002E-2</v>
      </c>
      <c r="S406" s="2">
        <v>4.9700000000000001E-2</v>
      </c>
      <c r="T406" s="2">
        <v>1.5599999999999999E-2</v>
      </c>
      <c r="U406" s="2">
        <v>6.7000000000000004E-2</v>
      </c>
      <c r="V406" s="2">
        <v>5.96E-2</v>
      </c>
      <c r="W406" s="2">
        <v>3.9E-2</v>
      </c>
      <c r="X406" s="2">
        <v>4.0599999999999997E-2</v>
      </c>
      <c r="Y406" s="2">
        <v>3.5700000000000003E-2</v>
      </c>
      <c r="Z406" s="2">
        <v>5.8200000000000002E-2</v>
      </c>
      <c r="AA406" s="5"/>
      <c r="AB406" s="2">
        <v>3.1099999999999999E-2</v>
      </c>
      <c r="AC406" s="2">
        <v>4.7199999999999999E-2</v>
      </c>
      <c r="AD406" s="2">
        <v>3.3599999999999998E-2</v>
      </c>
      <c r="AE406" s="2">
        <v>0.11</v>
      </c>
      <c r="AF406" s="5"/>
      <c r="AG406" s="5"/>
      <c r="AH406" s="2">
        <v>6.2199999999999998E-2</v>
      </c>
      <c r="AI406" s="2">
        <v>5.7500000000000002E-2</v>
      </c>
      <c r="AJ406" s="2">
        <v>3.8399999999999997E-2</v>
      </c>
      <c r="AK406" s="2">
        <v>0.126</v>
      </c>
      <c r="AL406" s="2">
        <v>5.5399999999999998E-2</v>
      </c>
      <c r="AM406" s="5"/>
      <c r="AN406" s="2">
        <v>6.7900000000000002E-2</v>
      </c>
      <c r="AO406" s="2">
        <v>3.3799999999999997E-2</v>
      </c>
      <c r="AP406" s="79">
        <v>49.7</v>
      </c>
    </row>
    <row r="407" spans="1:42">
      <c r="A407" s="8" t="s">
        <v>676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4">
        <v>0</v>
      </c>
      <c r="AP407" s="68"/>
    </row>
    <row r="408" spans="1:42">
      <c r="A408" s="8" t="s">
        <v>677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2">
        <v>0</v>
      </c>
      <c r="AP408" s="77"/>
    </row>
    <row r="409" spans="1:42">
      <c r="A409" s="8" t="s">
        <v>678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4">
        <v>0</v>
      </c>
      <c r="AP409" s="68"/>
    </row>
    <row r="410" spans="1:42">
      <c r="A410" s="8" t="s">
        <v>248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">
        <v>2.4599999999999999E-3</v>
      </c>
      <c r="Y410" s="2">
        <v>2.7699999999999999E-3</v>
      </c>
      <c r="Z410" s="2">
        <v>1.83E-2</v>
      </c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2">
        <v>2.0500000000000001E-2</v>
      </c>
      <c r="AM410" s="5"/>
      <c r="AN410" s="2">
        <v>2.0500000000000001E-2</v>
      </c>
      <c r="AO410" s="5"/>
      <c r="AP410" s="79">
        <v>0</v>
      </c>
    </row>
    <row r="411" spans="1:42">
      <c r="A411" s="8" t="s">
        <v>679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4">
        <v>0</v>
      </c>
      <c r="AP411" s="68"/>
    </row>
    <row r="412" spans="1:42">
      <c r="A412" s="8" t="s">
        <v>680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2">
        <v>0</v>
      </c>
      <c r="AP412" s="77"/>
    </row>
    <row r="413" spans="1:42">
      <c r="A413" s="8" t="s">
        <v>249</v>
      </c>
      <c r="B413" s="3"/>
      <c r="C413" s="4">
        <v>2.5399999999999999E-2</v>
      </c>
      <c r="D413" s="4">
        <v>1.6299999999999999E-2</v>
      </c>
      <c r="E413" s="3"/>
      <c r="F413" s="4">
        <v>9.0800000000000006E-2</v>
      </c>
      <c r="G413" s="4">
        <v>1.5800000000000002E-2</v>
      </c>
      <c r="H413" s="4">
        <v>2.3400000000000001E-2</v>
      </c>
      <c r="I413" s="4">
        <v>2.2100000000000002E-2</v>
      </c>
      <c r="J413" s="4">
        <v>1.66E-2</v>
      </c>
      <c r="K413" s="4">
        <v>6.2399999999999997E-2</v>
      </c>
      <c r="L413" s="4">
        <v>2.01E-2</v>
      </c>
      <c r="M413" s="3"/>
      <c r="N413" s="3"/>
      <c r="O413" s="3"/>
      <c r="P413" s="3"/>
      <c r="Q413" s="3"/>
      <c r="R413" s="4">
        <v>1.5299999999999999E-2</v>
      </c>
      <c r="S413" s="3"/>
      <c r="T413" s="4">
        <v>1.5299999999999999E-2</v>
      </c>
      <c r="U413" s="4">
        <v>2.98E-2</v>
      </c>
      <c r="V413" s="4">
        <v>2.3699999999999999E-2</v>
      </c>
      <c r="W413" s="4">
        <v>3.7199999999999997E-2</v>
      </c>
      <c r="X413" s="4">
        <v>2.6100000000000002E-2</v>
      </c>
      <c r="Y413" s="4">
        <v>2.2700000000000001E-2</v>
      </c>
      <c r="Z413" s="4">
        <v>1.9199999999999998E-2</v>
      </c>
      <c r="AA413" s="3"/>
      <c r="AB413" s="4">
        <v>2.7900000000000001E-2</v>
      </c>
      <c r="AC413" s="4">
        <v>2.9100000000000001E-2</v>
      </c>
      <c r="AD413" s="4">
        <v>3.1699999999999999E-2</v>
      </c>
      <c r="AE413" s="3"/>
      <c r="AF413" s="3"/>
      <c r="AG413" s="3"/>
      <c r="AH413" s="3"/>
      <c r="AI413" s="3"/>
      <c r="AJ413" s="4">
        <v>1.9199999999999998E-2</v>
      </c>
      <c r="AK413" s="4">
        <v>7.9899999999999999E-2</v>
      </c>
      <c r="AL413" s="4">
        <v>2.4400000000000002E-2</v>
      </c>
      <c r="AM413" s="3"/>
      <c r="AN413" s="4">
        <v>4.1200000000000001E-2</v>
      </c>
      <c r="AO413" s="4">
        <v>3.3599999999999998E-2</v>
      </c>
      <c r="AP413" s="78">
        <v>81.7</v>
      </c>
    </row>
    <row r="414" spans="1:42">
      <c r="A414" s="8" t="s">
        <v>681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2">
        <v>0</v>
      </c>
      <c r="AP414" s="77"/>
    </row>
    <row r="415" spans="1:42">
      <c r="A415" s="8" t="s">
        <v>682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4">
        <v>0</v>
      </c>
      <c r="AP415" s="68"/>
    </row>
    <row r="416" spans="1:42">
      <c r="A416" s="8" t="s">
        <v>683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2">
        <v>0</v>
      </c>
      <c r="AP416" s="77"/>
    </row>
    <row r="417" spans="1:42">
      <c r="A417" s="8" t="s">
        <v>684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4">
        <v>0</v>
      </c>
      <c r="AP417" s="68"/>
    </row>
    <row r="418" spans="1:42">
      <c r="A418" s="8" t="s">
        <v>250</v>
      </c>
      <c r="B418" s="2">
        <v>1.6400000000000001E-2</v>
      </c>
      <c r="C418" s="2">
        <v>2.5399999999999999E-2</v>
      </c>
      <c r="D418" s="2">
        <v>1.7899999999999999E-2</v>
      </c>
      <c r="E418" s="2">
        <v>0.28499999999999998</v>
      </c>
      <c r="F418" s="2">
        <v>0.23799999999999999</v>
      </c>
      <c r="G418" s="2">
        <v>4.58E-2</v>
      </c>
      <c r="H418" s="2">
        <v>2.5100000000000001E-2</v>
      </c>
      <c r="I418" s="2">
        <v>2.1100000000000001E-2</v>
      </c>
      <c r="J418" s="2">
        <v>2.7699999999999999E-2</v>
      </c>
      <c r="K418" s="2">
        <v>2.3099999999999999E-2</v>
      </c>
      <c r="L418" s="2">
        <v>3.8800000000000001E-2</v>
      </c>
      <c r="M418" s="2">
        <v>2.7400000000000001E-2</v>
      </c>
      <c r="N418" s="2">
        <v>3.09E-2</v>
      </c>
      <c r="O418" s="2">
        <v>5.7200000000000001E-2</v>
      </c>
      <c r="P418" s="2">
        <v>3.1199999999999999E-2</v>
      </c>
      <c r="Q418" s="2">
        <v>3.8600000000000002E-2</v>
      </c>
      <c r="R418" s="2">
        <v>4.7300000000000002E-2</v>
      </c>
      <c r="S418" s="2">
        <v>2.29E-2</v>
      </c>
      <c r="T418" s="2">
        <v>6.2E-2</v>
      </c>
      <c r="U418" s="2">
        <v>2.01E-2</v>
      </c>
      <c r="V418" s="2">
        <v>2.93E-2</v>
      </c>
      <c r="W418" s="2">
        <v>4.4200000000000003E-2</v>
      </c>
      <c r="X418" s="2">
        <v>2.8500000000000001E-2</v>
      </c>
      <c r="Y418" s="2">
        <v>4.0800000000000003E-2</v>
      </c>
      <c r="Z418" s="2">
        <v>1.9E-2</v>
      </c>
      <c r="AA418" s="5"/>
      <c r="AB418" s="2">
        <v>2.3300000000000001E-2</v>
      </c>
      <c r="AC418" s="2">
        <v>5.5599999999999997E-2</v>
      </c>
      <c r="AD418" s="2">
        <v>3.7100000000000001E-2</v>
      </c>
      <c r="AE418" s="2">
        <v>9.6299999999999997E-2</v>
      </c>
      <c r="AF418" s="5"/>
      <c r="AG418" s="5"/>
      <c r="AH418" s="5"/>
      <c r="AI418" s="2">
        <v>2.7099999999999999E-2</v>
      </c>
      <c r="AJ418" s="2">
        <v>3.78E-2</v>
      </c>
      <c r="AK418" s="2">
        <v>4.5100000000000001E-2</v>
      </c>
      <c r="AL418" s="2">
        <v>2.7900000000000001E-2</v>
      </c>
      <c r="AM418" s="5"/>
      <c r="AN418" s="2">
        <v>3.4500000000000003E-2</v>
      </c>
      <c r="AO418" s="2">
        <v>8.6099999999999996E-3</v>
      </c>
      <c r="AP418" s="79">
        <v>25</v>
      </c>
    </row>
    <row r="419" spans="1:42">
      <c r="A419" s="8" t="s">
        <v>685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4">
        <v>0</v>
      </c>
      <c r="AP419" s="68"/>
    </row>
    <row r="420" spans="1:42">
      <c r="A420" s="8" t="s">
        <v>686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2">
        <v>0</v>
      </c>
      <c r="AP420" s="77"/>
    </row>
    <row r="421" spans="1:42">
      <c r="A421" s="8" t="s">
        <v>687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4">
        <v>2.0699999999999998E-3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4">
        <v>0</v>
      </c>
      <c r="AP421" s="68"/>
    </row>
    <row r="422" spans="1:42">
      <c r="A422" s="8" t="s">
        <v>688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2">
        <v>1.7700000000000001E-3</v>
      </c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2">
        <v>0</v>
      </c>
      <c r="AP422" s="77"/>
    </row>
    <row r="423" spans="1:42">
      <c r="A423" s="8" t="s">
        <v>689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4">
        <v>0</v>
      </c>
      <c r="AP423" s="68"/>
    </row>
    <row r="424" spans="1:42">
      <c r="A424" s="8" t="s">
        <v>690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2">
        <v>0</v>
      </c>
      <c r="AP424" s="77"/>
    </row>
    <row r="425" spans="1:42">
      <c r="A425" s="8" t="s">
        <v>251</v>
      </c>
      <c r="B425" s="3"/>
      <c r="C425" s="4">
        <v>3.98E-3</v>
      </c>
      <c r="D425" s="4">
        <v>1.34E-3</v>
      </c>
      <c r="E425" s="3"/>
      <c r="F425" s="3"/>
      <c r="G425" s="4">
        <v>6.7199999999999996E-4</v>
      </c>
      <c r="H425" s="4">
        <v>1.14E-3</v>
      </c>
      <c r="I425" s="4">
        <v>1.3500000000000001E-3</v>
      </c>
      <c r="J425" s="3"/>
      <c r="K425" s="3"/>
      <c r="L425" s="4">
        <v>1.5399999999999999E-3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4">
        <v>2.0899999999999998E-3</v>
      </c>
      <c r="X425" s="3"/>
      <c r="Y425" s="3"/>
      <c r="Z425" s="3"/>
      <c r="AA425" s="3"/>
      <c r="AB425" s="4">
        <v>3.8700000000000002E-3</v>
      </c>
      <c r="AC425" s="4">
        <v>1.8400000000000001E-3</v>
      </c>
      <c r="AD425" s="4">
        <v>1.4400000000000001E-3</v>
      </c>
      <c r="AE425" s="3"/>
      <c r="AF425" s="3"/>
      <c r="AG425" s="3"/>
      <c r="AH425" s="3"/>
      <c r="AI425" s="3"/>
      <c r="AJ425" s="4">
        <v>8.4400000000000002E-4</v>
      </c>
      <c r="AK425" s="3"/>
      <c r="AL425" s="3"/>
      <c r="AM425" s="3"/>
      <c r="AN425" s="4">
        <v>8.4400000000000002E-4</v>
      </c>
      <c r="AO425" s="3"/>
      <c r="AP425" s="78">
        <v>0</v>
      </c>
    </row>
    <row r="426" spans="1:42">
      <c r="A426" s="8" t="s">
        <v>252</v>
      </c>
      <c r="B426" s="5"/>
      <c r="C426" s="2">
        <v>5.7400000000000003E-3</v>
      </c>
      <c r="D426" s="5"/>
      <c r="E426" s="5"/>
      <c r="F426" s="5"/>
      <c r="G426" s="5"/>
      <c r="H426" s="5"/>
      <c r="I426" s="5"/>
      <c r="J426" s="5"/>
      <c r="K426" s="5"/>
      <c r="L426" s="2">
        <v>4.3800000000000002E-3</v>
      </c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2">
        <v>3.5500000000000002E-3</v>
      </c>
      <c r="X426" s="5"/>
      <c r="Y426" s="5"/>
      <c r="Z426" s="5"/>
      <c r="AA426" s="5"/>
      <c r="AB426" s="2">
        <v>5.2300000000000003E-3</v>
      </c>
      <c r="AC426" s="2">
        <v>6.79E-3</v>
      </c>
      <c r="AD426" s="5"/>
      <c r="AE426" s="5"/>
      <c r="AF426" s="5"/>
      <c r="AG426" s="5"/>
      <c r="AH426" s="5"/>
      <c r="AI426" s="5"/>
      <c r="AJ426" s="2">
        <v>3.3500000000000001E-3</v>
      </c>
      <c r="AK426" s="5"/>
      <c r="AL426" s="5"/>
      <c r="AM426" s="5"/>
      <c r="AN426" s="2">
        <v>3.3500000000000001E-3</v>
      </c>
      <c r="AO426" s="5"/>
      <c r="AP426" s="79">
        <v>0</v>
      </c>
    </row>
    <row r="427" spans="1:42">
      <c r="A427" s="8" t="s">
        <v>691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4">
        <v>3.3400000000000001E-3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4">
        <v>0</v>
      </c>
      <c r="AP427" s="68"/>
    </row>
    <row r="428" spans="1:42">
      <c r="A428" s="8" t="s">
        <v>692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2">
        <v>0</v>
      </c>
      <c r="AP428" s="77"/>
    </row>
    <row r="429" spans="1:42">
      <c r="A429" s="8" t="s">
        <v>693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4">
        <v>0</v>
      </c>
      <c r="AP429" s="68"/>
    </row>
    <row r="430" spans="1:42">
      <c r="A430" s="8" t="s">
        <v>253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2">
        <v>2.7499999999999998E-3</v>
      </c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2">
        <v>2.5600000000000002E-3</v>
      </c>
      <c r="AC430" s="5"/>
      <c r="AD430" s="5"/>
      <c r="AE430" s="5"/>
      <c r="AF430" s="5"/>
      <c r="AG430" s="5"/>
      <c r="AH430" s="5"/>
      <c r="AI430" s="5"/>
      <c r="AJ430" s="2">
        <v>6.2100000000000002E-3</v>
      </c>
      <c r="AK430" s="5"/>
      <c r="AL430" s="5"/>
      <c r="AM430" s="5"/>
      <c r="AN430" s="2">
        <v>6.2100000000000002E-3</v>
      </c>
      <c r="AO430" s="5"/>
      <c r="AP430" s="79">
        <v>0</v>
      </c>
    </row>
    <row r="431" spans="1:42">
      <c r="A431" s="8" t="s">
        <v>254</v>
      </c>
      <c r="B431" s="3"/>
      <c r="C431" s="3"/>
      <c r="D431" s="3"/>
      <c r="E431" s="4">
        <v>1.9400000000000001E-2</v>
      </c>
      <c r="F431" s="4">
        <v>2.5700000000000001E-2</v>
      </c>
      <c r="G431" s="4">
        <v>2.4E-2</v>
      </c>
      <c r="H431" s="3"/>
      <c r="I431" s="3"/>
      <c r="J431" s="3"/>
      <c r="K431" s="4">
        <v>3.1899999999999998E-2</v>
      </c>
      <c r="L431" s="3"/>
      <c r="M431" s="3"/>
      <c r="N431" s="3"/>
      <c r="O431" s="3"/>
      <c r="P431" s="3"/>
      <c r="Q431" s="4">
        <v>2.7900000000000001E-2</v>
      </c>
      <c r="R431" s="4">
        <v>7.22E-2</v>
      </c>
      <c r="S431" s="3"/>
      <c r="T431" s="3"/>
      <c r="U431" s="3"/>
      <c r="V431" s="3"/>
      <c r="W431" s="3"/>
      <c r="X431" s="3"/>
      <c r="Y431" s="3"/>
      <c r="Z431" s="3"/>
      <c r="AA431" s="3"/>
      <c r="AB431" s="4">
        <v>4.4600000000000001E-2</v>
      </c>
      <c r="AC431" s="4">
        <v>5.0999999999999997E-2</v>
      </c>
      <c r="AD431" s="4">
        <v>5.45E-2</v>
      </c>
      <c r="AE431" s="3"/>
      <c r="AF431" s="3"/>
      <c r="AG431" s="3"/>
      <c r="AH431" s="3"/>
      <c r="AI431" s="3"/>
      <c r="AJ431" s="3"/>
      <c r="AK431" s="4">
        <v>4.5900000000000003E-2</v>
      </c>
      <c r="AL431" s="4">
        <v>5.3400000000000003E-2</v>
      </c>
      <c r="AM431" s="3"/>
      <c r="AN431" s="4">
        <v>4.9700000000000001E-2</v>
      </c>
      <c r="AO431" s="4">
        <v>5.3099999999999996E-3</v>
      </c>
      <c r="AP431" s="78">
        <v>10.7</v>
      </c>
    </row>
    <row r="432" spans="1:42">
      <c r="A432" s="8" t="s">
        <v>255</v>
      </c>
      <c r="B432" s="2">
        <v>0.10299999999999999</v>
      </c>
      <c r="C432" s="2">
        <v>5.0700000000000002E-2</v>
      </c>
      <c r="D432" s="2">
        <v>1.89E-2</v>
      </c>
      <c r="E432" s="5"/>
      <c r="F432" s="5"/>
      <c r="G432" s="5"/>
      <c r="H432" s="2">
        <v>6.5699999999999995E-2</v>
      </c>
      <c r="I432" s="2">
        <v>6.4600000000000005E-2</v>
      </c>
      <c r="J432" s="2">
        <v>6.9699999999999998E-2</v>
      </c>
      <c r="K432" s="5"/>
      <c r="L432" s="2">
        <v>6.2399999999999997E-2</v>
      </c>
      <c r="M432" s="2">
        <v>0.21099999999999999</v>
      </c>
      <c r="N432" s="2">
        <v>0.11700000000000001</v>
      </c>
      <c r="O432" s="2">
        <v>5.5399999999999998E-2</v>
      </c>
      <c r="P432" s="2">
        <v>9.3200000000000005E-2</v>
      </c>
      <c r="Q432" s="5"/>
      <c r="R432" s="5"/>
      <c r="S432" s="2">
        <v>0.13500000000000001</v>
      </c>
      <c r="T432" s="2">
        <v>3.4299999999999997E-2</v>
      </c>
      <c r="U432" s="2">
        <v>7.5200000000000003E-2</v>
      </c>
      <c r="V432" s="2">
        <v>9.6100000000000005E-2</v>
      </c>
      <c r="W432" s="2">
        <v>7.6399999999999996E-2</v>
      </c>
      <c r="X432" s="2">
        <v>5.3100000000000001E-2</v>
      </c>
      <c r="Y432" s="2">
        <v>6.7100000000000007E-2</v>
      </c>
      <c r="Z432" s="2">
        <v>0.113</v>
      </c>
      <c r="AA432" s="5"/>
      <c r="AB432" s="5"/>
      <c r="AC432" s="5"/>
      <c r="AD432" s="5"/>
      <c r="AE432" s="5"/>
      <c r="AF432" s="5"/>
      <c r="AG432" s="5"/>
      <c r="AH432" s="5"/>
      <c r="AI432" s="2">
        <v>0.105</v>
      </c>
      <c r="AJ432" s="2">
        <v>5.8099999999999999E-2</v>
      </c>
      <c r="AK432" s="5"/>
      <c r="AL432" s="5"/>
      <c r="AM432" s="5"/>
      <c r="AN432" s="2">
        <v>8.1799999999999998E-2</v>
      </c>
      <c r="AO432" s="2">
        <v>3.3500000000000002E-2</v>
      </c>
      <c r="AP432" s="79">
        <v>41</v>
      </c>
    </row>
    <row r="433" spans="1:42">
      <c r="A433" s="8" t="s">
        <v>694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4">
        <v>0</v>
      </c>
      <c r="AP433" s="68"/>
    </row>
    <row r="434" spans="1:42">
      <c r="A434" s="8" t="s">
        <v>695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2">
        <v>0</v>
      </c>
      <c r="AP434" s="77"/>
    </row>
    <row r="435" spans="1:42">
      <c r="A435" s="8" t="s">
        <v>696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4">
        <v>0</v>
      </c>
      <c r="AP435" s="68"/>
    </row>
    <row r="436" spans="1:42">
      <c r="A436" s="8" t="s">
        <v>697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2">
        <v>0</v>
      </c>
      <c r="AP436" s="77"/>
    </row>
    <row r="437" spans="1:42">
      <c r="A437" s="8" t="s">
        <v>698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4">
        <v>0</v>
      </c>
      <c r="AP437" s="68"/>
    </row>
    <row r="438" spans="1:42">
      <c r="A438" s="8" t="s">
        <v>699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2">
        <v>0</v>
      </c>
      <c r="AP438" s="77"/>
    </row>
    <row r="439" spans="1:42">
      <c r="A439" s="8" t="s">
        <v>256</v>
      </c>
      <c r="B439" s="3"/>
      <c r="C439" s="4">
        <v>4.8399999999999997E-3</v>
      </c>
      <c r="D439" s="4">
        <v>3.47E-3</v>
      </c>
      <c r="E439" s="3"/>
      <c r="F439" s="3"/>
      <c r="G439" s="3"/>
      <c r="H439" s="4">
        <v>4.5300000000000002E-3</v>
      </c>
      <c r="I439" s="3"/>
      <c r="J439" s="3"/>
      <c r="K439" s="3"/>
      <c r="L439" s="4">
        <v>3.32E-3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4">
        <v>2.9299999999999999E-3</v>
      </c>
      <c r="X439" s="3"/>
      <c r="Y439" s="3"/>
      <c r="Z439" s="3"/>
      <c r="AA439" s="3"/>
      <c r="AB439" s="4">
        <v>2.96E-3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4">
        <v>0</v>
      </c>
      <c r="AP439" s="68"/>
    </row>
    <row r="440" spans="1:42">
      <c r="A440" s="8" t="s">
        <v>257</v>
      </c>
      <c r="B440" s="5"/>
      <c r="C440" s="2">
        <v>3.2699999999999999E-3</v>
      </c>
      <c r="D440" s="2">
        <v>1.73E-3</v>
      </c>
      <c r="E440" s="5"/>
      <c r="F440" s="5"/>
      <c r="G440" s="5"/>
      <c r="H440" s="2">
        <v>1.07E-3</v>
      </c>
      <c r="I440" s="2">
        <v>1.3799999999999999E-3</v>
      </c>
      <c r="J440" s="5"/>
      <c r="K440" s="5"/>
      <c r="L440" s="2">
        <v>2.0799999999999998E-3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2">
        <v>2.1199999999999999E-3</v>
      </c>
      <c r="X440" s="5"/>
      <c r="Y440" s="5"/>
      <c r="Z440" s="2">
        <v>7.27E-4</v>
      </c>
      <c r="AA440" s="5"/>
      <c r="AB440" s="2">
        <v>3.0100000000000001E-3</v>
      </c>
      <c r="AC440" s="2">
        <v>1.1199999999999999E-3</v>
      </c>
      <c r="AD440" s="2">
        <v>1.09E-3</v>
      </c>
      <c r="AE440" s="5"/>
      <c r="AF440" s="5"/>
      <c r="AG440" s="5"/>
      <c r="AH440" s="5"/>
      <c r="AI440" s="5"/>
      <c r="AJ440" s="2">
        <v>1.48E-3</v>
      </c>
      <c r="AK440" s="5"/>
      <c r="AL440" s="5"/>
      <c r="AM440" s="5"/>
      <c r="AN440" s="2">
        <v>1.48E-3</v>
      </c>
      <c r="AO440" s="5"/>
      <c r="AP440" s="79">
        <v>0</v>
      </c>
    </row>
    <row r="441" spans="1:42">
      <c r="A441" s="8" t="s">
        <v>258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4">
        <v>0</v>
      </c>
      <c r="AP441" s="68"/>
    </row>
    <row r="442" spans="1:42">
      <c r="A442" s="8" t="s">
        <v>259</v>
      </c>
      <c r="B442" s="5"/>
      <c r="C442" s="2">
        <v>4.5199999999999997E-3</v>
      </c>
      <c r="D442" s="2">
        <v>2.33E-3</v>
      </c>
      <c r="E442" s="5"/>
      <c r="F442" s="5"/>
      <c r="G442" s="5"/>
      <c r="H442" s="2">
        <v>3.3800000000000002E-3</v>
      </c>
      <c r="I442" s="2">
        <v>1.81E-3</v>
      </c>
      <c r="J442" s="5"/>
      <c r="K442" s="5"/>
      <c r="L442" s="2">
        <v>2.3999999999999998E-3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2">
        <v>2.3900000000000002E-3</v>
      </c>
      <c r="X442" s="5"/>
      <c r="Y442" s="5"/>
      <c r="Z442" s="5"/>
      <c r="AA442" s="5"/>
      <c r="AB442" s="2">
        <v>4.7299999999999998E-3</v>
      </c>
      <c r="AC442" s="2">
        <v>2.0699999999999998E-3</v>
      </c>
      <c r="AD442" s="5"/>
      <c r="AE442" s="5"/>
      <c r="AF442" s="5"/>
      <c r="AG442" s="5"/>
      <c r="AH442" s="5"/>
      <c r="AI442" s="5"/>
      <c r="AJ442" s="2">
        <v>2.2399999999999998E-3</v>
      </c>
      <c r="AK442" s="5"/>
      <c r="AL442" s="5"/>
      <c r="AM442" s="5"/>
      <c r="AN442" s="2">
        <v>2.2399999999999998E-3</v>
      </c>
      <c r="AO442" s="5"/>
      <c r="AP442" s="79">
        <v>0</v>
      </c>
    </row>
    <row r="443" spans="1:42">
      <c r="A443" s="8" t="s">
        <v>260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4">
        <v>0</v>
      </c>
      <c r="AP443" s="68"/>
    </row>
    <row r="444" spans="1:42">
      <c r="A444" s="8" t="s">
        <v>261</v>
      </c>
      <c r="B444" s="5"/>
      <c r="C444" s="2">
        <v>5.1200000000000004E-3</v>
      </c>
      <c r="D444" s="5"/>
      <c r="E444" s="5"/>
      <c r="F444" s="5"/>
      <c r="G444" s="5"/>
      <c r="H444" s="5"/>
      <c r="I444" s="5"/>
      <c r="J444" s="5"/>
      <c r="K444" s="5"/>
      <c r="L444" s="2">
        <v>4.5199999999999997E-3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2">
        <v>4.28E-3</v>
      </c>
      <c r="X444" s="5"/>
      <c r="Y444" s="5"/>
      <c r="Z444" s="5"/>
      <c r="AA444" s="5"/>
      <c r="AB444" s="2">
        <v>3.3E-3</v>
      </c>
      <c r="AC444" s="2">
        <v>1.5299999999999999E-3</v>
      </c>
      <c r="AD444" s="5"/>
      <c r="AE444" s="5"/>
      <c r="AF444" s="5"/>
      <c r="AG444" s="5"/>
      <c r="AH444" s="5"/>
      <c r="AI444" s="5"/>
      <c r="AJ444" s="2">
        <v>2.3600000000000001E-3</v>
      </c>
      <c r="AK444" s="5"/>
      <c r="AL444" s="5"/>
      <c r="AM444" s="5"/>
      <c r="AN444" s="2">
        <v>2.3600000000000001E-3</v>
      </c>
      <c r="AO444" s="5"/>
      <c r="AP444" s="79">
        <v>0</v>
      </c>
    </row>
    <row r="445" spans="1:42">
      <c r="A445" s="8" t="s">
        <v>700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4">
        <v>0</v>
      </c>
      <c r="AP445" s="68"/>
    </row>
    <row r="446" spans="1:42">
      <c r="A446" s="8" t="s">
        <v>701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2">
        <v>0</v>
      </c>
      <c r="AP446" s="77"/>
    </row>
    <row r="447" spans="1:42">
      <c r="A447" s="8" t="s">
        <v>262</v>
      </c>
      <c r="B447" s="3"/>
      <c r="C447" s="4">
        <v>9.2300000000000004E-3</v>
      </c>
      <c r="D447" s="4">
        <v>6.6400000000000001E-3</v>
      </c>
      <c r="E447" s="4">
        <v>1.6500000000000001E-2</v>
      </c>
      <c r="F447" s="4">
        <v>2.0899999999999998E-2</v>
      </c>
      <c r="G447" s="4">
        <v>1.26E-2</v>
      </c>
      <c r="H447" s="4">
        <v>8.3800000000000003E-3</v>
      </c>
      <c r="I447" s="4">
        <v>6.5100000000000002E-3</v>
      </c>
      <c r="J447" s="4">
        <v>1.18E-2</v>
      </c>
      <c r="K447" s="3"/>
      <c r="L447" s="4">
        <v>8.9999999999999993E-3</v>
      </c>
      <c r="M447" s="3"/>
      <c r="N447" s="4">
        <v>5.5199999999999997E-3</v>
      </c>
      <c r="O447" s="4">
        <v>1.0200000000000001E-2</v>
      </c>
      <c r="P447" s="4">
        <v>8.0099999999999998E-3</v>
      </c>
      <c r="Q447" s="3"/>
      <c r="R447" s="4">
        <v>1.4999999999999999E-2</v>
      </c>
      <c r="S447" s="3"/>
      <c r="T447" s="4">
        <v>1.9699999999999999E-2</v>
      </c>
      <c r="U447" s="4">
        <v>6.7400000000000003E-3</v>
      </c>
      <c r="V447" s="4">
        <v>8.3300000000000006E-3</v>
      </c>
      <c r="W447" s="4">
        <v>1.1900000000000001E-2</v>
      </c>
      <c r="X447" s="4">
        <v>6.5199999999999998E-3</v>
      </c>
      <c r="Y447" s="4">
        <v>1.3599999999999999E-2</v>
      </c>
      <c r="Z447" s="4">
        <v>7.5900000000000004E-3</v>
      </c>
      <c r="AA447" s="3"/>
      <c r="AB447" s="4">
        <v>9.2700000000000005E-3</v>
      </c>
      <c r="AC447" s="4">
        <v>1.47E-2</v>
      </c>
      <c r="AD447" s="3"/>
      <c r="AE447" s="4">
        <v>1.52E-2</v>
      </c>
      <c r="AF447" s="3"/>
      <c r="AG447" s="3"/>
      <c r="AH447" s="3"/>
      <c r="AI447" s="3"/>
      <c r="AJ447" s="4">
        <v>9.3900000000000008E-3</v>
      </c>
      <c r="AK447" s="4">
        <v>1.21E-2</v>
      </c>
      <c r="AL447" s="3"/>
      <c r="AM447" s="3"/>
      <c r="AN447" s="4">
        <v>1.0699999999999999E-2</v>
      </c>
      <c r="AO447" s="4">
        <v>1.9E-3</v>
      </c>
      <c r="AP447" s="78">
        <v>17.7</v>
      </c>
    </row>
    <row r="448" spans="1:42">
      <c r="A448" s="8" t="s">
        <v>263</v>
      </c>
      <c r="B448" s="2">
        <v>3.04E-2</v>
      </c>
      <c r="C448" s="5"/>
      <c r="D448" s="5"/>
      <c r="E448" s="5"/>
      <c r="F448" s="5"/>
      <c r="G448" s="5"/>
      <c r="H448" s="5"/>
      <c r="I448" s="5"/>
      <c r="J448" s="2">
        <v>5.04E-2</v>
      </c>
      <c r="K448" s="5"/>
      <c r="L448" s="2">
        <v>4.9200000000000001E-2</v>
      </c>
      <c r="M448" s="5"/>
      <c r="N448" s="2">
        <v>4.36E-2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2">
        <v>0</v>
      </c>
      <c r="AP448" s="77"/>
    </row>
    <row r="449" spans="1:42">
      <c r="A449" s="8" t="s">
        <v>702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4">
        <v>0</v>
      </c>
      <c r="AP449" s="68"/>
    </row>
    <row r="450" spans="1:42">
      <c r="A450" s="8" t="s">
        <v>703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2">
        <v>0</v>
      </c>
      <c r="AP450" s="77"/>
    </row>
    <row r="451" spans="1:42">
      <c r="A451" s="8" t="s">
        <v>704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4">
        <v>0</v>
      </c>
      <c r="AP451" s="68"/>
    </row>
    <row r="452" spans="1:42">
      <c r="A452" s="8" t="s">
        <v>705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2">
        <v>0</v>
      </c>
      <c r="AP452" s="77"/>
    </row>
    <row r="453" spans="1:42">
      <c r="A453" s="8" t="s">
        <v>706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4">
        <v>0</v>
      </c>
      <c r="AP453" s="68"/>
    </row>
    <row r="454" spans="1:42">
      <c r="A454" s="8" t="s">
        <v>707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2">
        <v>0</v>
      </c>
      <c r="AP454" s="77"/>
    </row>
    <row r="455" spans="1:42">
      <c r="A455" s="8" t="s">
        <v>708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4">
        <v>0</v>
      </c>
      <c r="AP455" s="68"/>
    </row>
    <row r="456" spans="1:42">
      <c r="A456" s="8" t="s">
        <v>709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2">
        <v>0</v>
      </c>
      <c r="AP456" s="77"/>
    </row>
    <row r="457" spans="1:42">
      <c r="A457" s="8" t="s">
        <v>710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4">
        <v>0</v>
      </c>
      <c r="AP457" s="68"/>
    </row>
    <row r="458" spans="1:42">
      <c r="A458" s="8" t="s">
        <v>711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2">
        <v>0</v>
      </c>
      <c r="AP458" s="77"/>
    </row>
    <row r="459" spans="1:42">
      <c r="A459" s="8" t="s">
        <v>264</v>
      </c>
      <c r="B459" s="3"/>
      <c r="C459" s="4">
        <v>4.5699999999999998E-2</v>
      </c>
      <c r="D459" s="4">
        <v>4.2200000000000001E-2</v>
      </c>
      <c r="E459" s="3"/>
      <c r="F459" s="3"/>
      <c r="G459" s="3"/>
      <c r="H459" s="4">
        <v>3.4200000000000001E-2</v>
      </c>
      <c r="I459" s="4">
        <v>3.2399999999999998E-2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4">
        <v>5.9200000000000003E-2</v>
      </c>
      <c r="AC459" s="4">
        <v>8.2900000000000001E-2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4">
        <v>0</v>
      </c>
      <c r="AP459" s="68"/>
    </row>
    <row r="460" spans="1:42">
      <c r="A460" s="8" t="s">
        <v>712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2">
        <v>0</v>
      </c>
      <c r="AP460" s="77"/>
    </row>
    <row r="461" spans="1:42">
      <c r="A461" s="8" t="s">
        <v>713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4">
        <v>0</v>
      </c>
      <c r="AP461" s="68"/>
    </row>
    <row r="462" spans="1:42">
      <c r="A462" s="8" t="s">
        <v>714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2">
        <v>0</v>
      </c>
      <c r="AP462" s="77"/>
    </row>
    <row r="463" spans="1:42">
      <c r="A463" s="8" t="s">
        <v>265</v>
      </c>
      <c r="B463" s="3"/>
      <c r="C463" s="4">
        <v>1.1900000000000001E-2</v>
      </c>
      <c r="D463" s="4">
        <v>5.45E-3</v>
      </c>
      <c r="E463" s="3"/>
      <c r="F463" s="3"/>
      <c r="G463" s="3"/>
      <c r="H463" s="3"/>
      <c r="I463" s="4">
        <v>3.7499999999999999E-3</v>
      </c>
      <c r="J463" s="3"/>
      <c r="K463" s="3"/>
      <c r="L463" s="4">
        <v>3.5599999999999998E-3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4">
        <v>8.8800000000000007E-3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4">
        <v>0</v>
      </c>
      <c r="AP463" s="68"/>
    </row>
    <row r="464" spans="1:42">
      <c r="A464" s="8" t="s">
        <v>715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2">
        <v>0</v>
      </c>
      <c r="AP464" s="77"/>
    </row>
    <row r="465" spans="1:42">
      <c r="A465" s="8" t="s">
        <v>716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4">
        <v>0</v>
      </c>
      <c r="AP465" s="68"/>
    </row>
    <row r="466" spans="1:42">
      <c r="A466" s="8" t="s">
        <v>717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2">
        <v>0</v>
      </c>
      <c r="AP466" s="77"/>
    </row>
    <row r="467" spans="1:42">
      <c r="A467" s="8" t="s">
        <v>266</v>
      </c>
      <c r="B467" s="4">
        <v>2.7599999999999999E-3</v>
      </c>
      <c r="C467" s="4">
        <v>4.7600000000000003E-3</v>
      </c>
      <c r="D467" s="4">
        <v>2.6700000000000001E-3</v>
      </c>
      <c r="E467" s="4">
        <v>1.33E-3</v>
      </c>
      <c r="F467" s="4">
        <v>1.89E-3</v>
      </c>
      <c r="G467" s="3"/>
      <c r="H467" s="4">
        <v>3.0899999999999999E-3</v>
      </c>
      <c r="I467" s="4">
        <v>3.1700000000000001E-3</v>
      </c>
      <c r="J467" s="4">
        <v>2.8E-3</v>
      </c>
      <c r="K467" s="4">
        <v>1.24E-3</v>
      </c>
      <c r="L467" s="4">
        <v>4.2500000000000003E-3</v>
      </c>
      <c r="M467" s="4">
        <v>3.14E-3</v>
      </c>
      <c r="N467" s="4">
        <v>2.2100000000000002E-3</v>
      </c>
      <c r="O467" s="4">
        <v>1.7799999999999999E-3</v>
      </c>
      <c r="P467" s="4">
        <v>3.13E-3</v>
      </c>
      <c r="Q467" s="4">
        <v>2.2799999999999999E-3</v>
      </c>
      <c r="R467" s="3"/>
      <c r="S467" s="4">
        <v>4.4400000000000004E-3</v>
      </c>
      <c r="T467" s="3"/>
      <c r="U467" s="3"/>
      <c r="V467" s="3"/>
      <c r="W467" s="3"/>
      <c r="X467" s="3"/>
      <c r="Y467" s="3"/>
      <c r="Z467" s="3"/>
      <c r="AA467" s="3"/>
      <c r="AB467" s="4">
        <v>3.65E-3</v>
      </c>
      <c r="AC467" s="4">
        <v>4.7699999999999999E-3</v>
      </c>
      <c r="AD467" s="4">
        <v>5.13E-3</v>
      </c>
      <c r="AE467" s="3"/>
      <c r="AF467" s="3"/>
      <c r="AG467" s="3"/>
      <c r="AH467" s="3"/>
      <c r="AI467" s="4">
        <v>2.3800000000000002E-3</v>
      </c>
      <c r="AJ467" s="4">
        <v>3.3500000000000001E-3</v>
      </c>
      <c r="AK467" s="4">
        <v>1.42E-3</v>
      </c>
      <c r="AL467" s="4">
        <v>2.4499999999999999E-3</v>
      </c>
      <c r="AM467" s="3"/>
      <c r="AN467" s="4">
        <v>2.3999999999999998E-3</v>
      </c>
      <c r="AO467" s="4">
        <v>7.8899999999999999E-4</v>
      </c>
      <c r="AP467" s="78">
        <v>32.9</v>
      </c>
    </row>
    <row r="468" spans="1:42">
      <c r="A468" s="8" t="s">
        <v>718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2">
        <v>0</v>
      </c>
      <c r="AP468" s="77"/>
    </row>
    <row r="469" spans="1:42">
      <c r="A469" s="8" t="s">
        <v>719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4">
        <v>0</v>
      </c>
      <c r="AP469" s="68"/>
    </row>
    <row r="470" spans="1:42">
      <c r="A470" s="8" t="s">
        <v>720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2">
        <v>0</v>
      </c>
      <c r="AP470" s="77"/>
    </row>
    <row r="471" spans="1:42">
      <c r="A471" s="8" t="s">
        <v>721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4">
        <v>0</v>
      </c>
      <c r="AP471" s="68"/>
    </row>
    <row r="472" spans="1:42">
      <c r="A472" s="8" t="s">
        <v>722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2">
        <v>0</v>
      </c>
      <c r="AP472" s="77"/>
    </row>
    <row r="473" spans="1:42">
      <c r="A473" s="8" t="s">
        <v>723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4">
        <v>0</v>
      </c>
      <c r="AP473" s="68"/>
    </row>
    <row r="474" spans="1:42">
      <c r="A474" s="8" t="s">
        <v>267</v>
      </c>
      <c r="B474" s="5"/>
      <c r="C474" s="2">
        <v>8.3799999999999999E-2</v>
      </c>
      <c r="D474" s="2">
        <v>8.5800000000000001E-2</v>
      </c>
      <c r="E474" s="2">
        <v>1.29</v>
      </c>
      <c r="F474" s="2">
        <v>1.1599999999999999</v>
      </c>
      <c r="G474" s="2">
        <v>0.36499999999999999</v>
      </c>
      <c r="H474" s="2">
        <v>0.112</v>
      </c>
      <c r="I474" s="2">
        <v>8.0500000000000002E-2</v>
      </c>
      <c r="J474" s="2">
        <v>0.123</v>
      </c>
      <c r="K474" s="2">
        <v>0.80900000000000005</v>
      </c>
      <c r="L474" s="2">
        <v>0.30599999999999999</v>
      </c>
      <c r="M474" s="2">
        <v>0.184</v>
      </c>
      <c r="N474" s="2">
        <v>7.6600000000000001E-2</v>
      </c>
      <c r="O474" s="5"/>
      <c r="P474" s="2">
        <v>0.10299999999999999</v>
      </c>
      <c r="Q474" s="2">
        <v>1.28</v>
      </c>
      <c r="R474" s="2">
        <v>0.379</v>
      </c>
      <c r="S474" s="5"/>
      <c r="T474" s="2">
        <v>0.128</v>
      </c>
      <c r="U474" s="2">
        <v>6.8400000000000002E-2</v>
      </c>
      <c r="V474" s="2">
        <v>4.5400000000000003E-2</v>
      </c>
      <c r="W474" s="5"/>
      <c r="X474" s="5"/>
      <c r="Y474" s="5"/>
      <c r="Z474" s="5"/>
      <c r="AA474" s="5"/>
      <c r="AB474" s="2">
        <v>0.36</v>
      </c>
      <c r="AC474" s="2">
        <v>0.47899999999999998</v>
      </c>
      <c r="AD474" s="2">
        <v>0.34799999999999998</v>
      </c>
      <c r="AE474" s="2">
        <v>1.94</v>
      </c>
      <c r="AF474" s="5"/>
      <c r="AG474" s="5"/>
      <c r="AH474" s="5"/>
      <c r="AI474" s="2">
        <v>0.14499999999999999</v>
      </c>
      <c r="AJ474" s="2">
        <v>0.28699999999999998</v>
      </c>
      <c r="AK474" s="2">
        <v>1.03</v>
      </c>
      <c r="AL474" s="2">
        <v>0.42199999999999999</v>
      </c>
      <c r="AM474" s="5"/>
      <c r="AN474" s="2">
        <v>0.47099999999999997</v>
      </c>
      <c r="AO474" s="2">
        <v>0.39</v>
      </c>
      <c r="AP474" s="79">
        <v>82.8</v>
      </c>
    </row>
    <row r="475" spans="1:42">
      <c r="A475" s="8" t="s">
        <v>724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4">
        <v>0</v>
      </c>
      <c r="AP475" s="68"/>
    </row>
    <row r="476" spans="1:42">
      <c r="A476" s="8" t="s">
        <v>725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2">
        <v>0</v>
      </c>
      <c r="AP476" s="77"/>
    </row>
    <row r="477" spans="1:42">
      <c r="A477" s="8" t="s">
        <v>268</v>
      </c>
      <c r="B477" s="3"/>
      <c r="C477" s="4">
        <v>1.6299999999999999E-2</v>
      </c>
      <c r="D477" s="4">
        <v>1.06E-2</v>
      </c>
      <c r="E477" s="3"/>
      <c r="F477" s="3"/>
      <c r="G477" s="3"/>
      <c r="H477" s="4">
        <v>1.01E-2</v>
      </c>
      <c r="I477" s="4">
        <v>9.5600000000000008E-3</v>
      </c>
      <c r="J477" s="4">
        <v>4.2100000000000002E-3</v>
      </c>
      <c r="K477" s="3"/>
      <c r="L477" s="4">
        <v>9.7999999999999997E-3</v>
      </c>
      <c r="M477" s="3"/>
      <c r="N477" s="3"/>
      <c r="O477" s="3"/>
      <c r="P477" s="4">
        <v>3.46E-3</v>
      </c>
      <c r="Q477" s="3"/>
      <c r="R477" s="3"/>
      <c r="S477" s="3"/>
      <c r="T477" s="4">
        <v>3.8600000000000001E-3</v>
      </c>
      <c r="U477" s="4">
        <v>2.7000000000000001E-3</v>
      </c>
      <c r="V477" s="4">
        <v>5.6800000000000002E-3</v>
      </c>
      <c r="W477" s="4">
        <v>4.1099999999999999E-3</v>
      </c>
      <c r="X477" s="4">
        <v>2.2399999999999998E-3</v>
      </c>
      <c r="Y477" s="4">
        <v>3.0400000000000002E-3</v>
      </c>
      <c r="Z477" s="3"/>
      <c r="AA477" s="3"/>
      <c r="AB477" s="4">
        <v>1.11E-2</v>
      </c>
      <c r="AC477" s="4">
        <v>7.7499999999999999E-3</v>
      </c>
      <c r="AD477" s="4">
        <v>7.0600000000000003E-3</v>
      </c>
      <c r="AE477" s="3"/>
      <c r="AF477" s="3"/>
      <c r="AG477" s="3"/>
      <c r="AH477" s="4">
        <v>4.13E-3</v>
      </c>
      <c r="AI477" s="3"/>
      <c r="AJ477" s="4">
        <v>8.3599999999999994E-3</v>
      </c>
      <c r="AK477" s="3"/>
      <c r="AL477" s="3"/>
      <c r="AM477" s="3"/>
      <c r="AN477" s="4">
        <v>6.2399999999999999E-3</v>
      </c>
      <c r="AO477" s="4">
        <v>2.99E-3</v>
      </c>
      <c r="AP477" s="78">
        <v>47.9</v>
      </c>
    </row>
    <row r="478" spans="1:42">
      <c r="A478" s="8" t="s">
        <v>726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2">
        <v>0</v>
      </c>
      <c r="AP478" s="77"/>
    </row>
    <row r="479" spans="1:42">
      <c r="A479" s="8" t="s">
        <v>727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4">
        <v>1.9E-3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4">
        <v>0</v>
      </c>
      <c r="AP479" s="68"/>
    </row>
    <row r="480" spans="1:42">
      <c r="A480" s="8" t="s">
        <v>728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2">
        <v>0</v>
      </c>
      <c r="AP480" s="77"/>
    </row>
    <row r="481" spans="1:42">
      <c r="A481" s="8" t="s">
        <v>269</v>
      </c>
      <c r="B481" s="4">
        <v>3.0499999999999999E-2</v>
      </c>
      <c r="C481" s="4">
        <v>1.6400000000000001E-2</v>
      </c>
      <c r="D481" s="4">
        <v>1.03E-2</v>
      </c>
      <c r="E481" s="4">
        <v>3.1800000000000002E-2</v>
      </c>
      <c r="F481" s="4">
        <v>4.6800000000000001E-2</v>
      </c>
      <c r="G481" s="4">
        <v>3.9600000000000003E-2</v>
      </c>
      <c r="H481" s="4">
        <v>2.2700000000000001E-2</v>
      </c>
      <c r="I481" s="4">
        <v>2.4799999999999999E-2</v>
      </c>
      <c r="J481" s="4">
        <v>2.76E-2</v>
      </c>
      <c r="K481" s="4">
        <v>3.8899999999999997E-2</v>
      </c>
      <c r="L481" s="4">
        <v>1.9199999999999998E-2</v>
      </c>
      <c r="M481" s="4">
        <v>3.4599999999999999E-2</v>
      </c>
      <c r="N481" s="4">
        <v>2.5600000000000001E-2</v>
      </c>
      <c r="O481" s="4">
        <v>2.0199999999999999E-2</v>
      </c>
      <c r="P481" s="4">
        <v>2.6200000000000001E-2</v>
      </c>
      <c r="Q481" s="4">
        <v>3.7100000000000001E-2</v>
      </c>
      <c r="R481" s="4">
        <v>4.2500000000000003E-2</v>
      </c>
      <c r="S481" s="4">
        <v>3.5700000000000003E-2</v>
      </c>
      <c r="T481" s="4">
        <v>5.6599999999999998E-2</v>
      </c>
      <c r="U481" s="4">
        <v>2.63E-2</v>
      </c>
      <c r="V481" s="4">
        <v>4.6100000000000002E-2</v>
      </c>
      <c r="W481" s="4">
        <v>3.4500000000000003E-2</v>
      </c>
      <c r="X481" s="4">
        <v>2.52E-2</v>
      </c>
      <c r="Y481" s="4">
        <v>3.8199999999999998E-2</v>
      </c>
      <c r="Z481" s="4">
        <v>3.7999999999999999E-2</v>
      </c>
      <c r="AA481" s="3"/>
      <c r="AB481" s="4">
        <v>3.2199999999999999E-2</v>
      </c>
      <c r="AC481" s="4">
        <v>4.53E-2</v>
      </c>
      <c r="AD481" s="4">
        <v>4.7699999999999999E-2</v>
      </c>
      <c r="AE481" s="4">
        <v>5.3100000000000001E-2</v>
      </c>
      <c r="AF481" s="3"/>
      <c r="AG481" s="3"/>
      <c r="AH481" s="3"/>
      <c r="AI481" s="4">
        <v>2.98E-2</v>
      </c>
      <c r="AJ481" s="4">
        <v>4.0300000000000002E-2</v>
      </c>
      <c r="AK481" s="4">
        <v>4.5699999999999998E-2</v>
      </c>
      <c r="AL481" s="4">
        <v>4.3400000000000001E-2</v>
      </c>
      <c r="AM481" s="3"/>
      <c r="AN481" s="4">
        <v>3.9800000000000002E-2</v>
      </c>
      <c r="AO481" s="4">
        <v>7.0200000000000002E-3</v>
      </c>
      <c r="AP481" s="78">
        <v>17.600000000000001</v>
      </c>
    </row>
    <row r="482" spans="1:42">
      <c r="A482" s="8" t="s">
        <v>729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2">
        <v>0</v>
      </c>
      <c r="AP482" s="77"/>
    </row>
    <row r="483" spans="1:42">
      <c r="A483" s="8" t="s">
        <v>730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4">
        <v>0</v>
      </c>
      <c r="AP483" s="68"/>
    </row>
    <row r="484" spans="1:42">
      <c r="A484" s="8" t="s">
        <v>270</v>
      </c>
      <c r="B484" s="5"/>
      <c r="C484" s="2">
        <v>7.45E-3</v>
      </c>
      <c r="D484" s="2">
        <v>4.2599999999999999E-3</v>
      </c>
      <c r="E484" s="5"/>
      <c r="F484" s="5"/>
      <c r="G484" s="5"/>
      <c r="H484" s="5"/>
      <c r="I484" s="2">
        <v>4.3600000000000002E-3</v>
      </c>
      <c r="J484" s="5"/>
      <c r="K484" s="5"/>
      <c r="L484" s="2">
        <v>5.8100000000000001E-3</v>
      </c>
      <c r="M484" s="5"/>
      <c r="N484" s="5"/>
      <c r="O484" s="5"/>
      <c r="P484" s="5"/>
      <c r="Q484" s="5"/>
      <c r="R484" s="5"/>
      <c r="S484" s="5"/>
      <c r="T484" s="5"/>
      <c r="U484" s="2">
        <v>1.7700000000000001E-3</v>
      </c>
      <c r="V484" s="5"/>
      <c r="W484" s="5"/>
      <c r="X484" s="5"/>
      <c r="Y484" s="5"/>
      <c r="Z484" s="5"/>
      <c r="AA484" s="5"/>
      <c r="AB484" s="2">
        <v>3.7000000000000002E-3</v>
      </c>
      <c r="AC484" s="2">
        <v>2.1900000000000001E-3</v>
      </c>
      <c r="AD484" s="5"/>
      <c r="AE484" s="5"/>
      <c r="AF484" s="5"/>
      <c r="AG484" s="5"/>
      <c r="AH484" s="5"/>
      <c r="AI484" s="5"/>
      <c r="AJ484" s="2">
        <v>3.8500000000000001E-3</v>
      </c>
      <c r="AK484" s="5"/>
      <c r="AL484" s="5"/>
      <c r="AM484" s="5"/>
      <c r="AN484" s="2">
        <v>3.8500000000000001E-3</v>
      </c>
      <c r="AO484" s="5"/>
      <c r="AP484" s="79">
        <v>0</v>
      </c>
    </row>
    <row r="485" spans="1:42">
      <c r="A485" s="8" t="s">
        <v>731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4">
        <v>0</v>
      </c>
      <c r="AP485" s="68"/>
    </row>
    <row r="486" spans="1:42">
      <c r="A486" s="8" t="s">
        <v>732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2">
        <v>0</v>
      </c>
      <c r="AP486" s="77"/>
    </row>
    <row r="487" spans="1:42">
      <c r="A487" s="8" t="s">
        <v>733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4">
        <v>0</v>
      </c>
      <c r="AP487" s="68"/>
    </row>
    <row r="488" spans="1:42">
      <c r="A488" s="8" t="s">
        <v>734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2">
        <v>0</v>
      </c>
      <c r="AP488" s="77"/>
    </row>
    <row r="489" spans="1:42">
      <c r="A489" s="8" t="s">
        <v>735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4">
        <v>0</v>
      </c>
      <c r="AP489" s="68"/>
    </row>
    <row r="490" spans="1:42">
      <c r="A490" s="8" t="s">
        <v>736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2">
        <v>0</v>
      </c>
      <c r="AP490" s="77"/>
    </row>
    <row r="491" spans="1:42">
      <c r="A491" s="8" t="s">
        <v>737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4">
        <v>0</v>
      </c>
      <c r="AP491" s="68"/>
    </row>
    <row r="492" spans="1:42">
      <c r="A492" s="8" t="s">
        <v>271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2">
        <v>1.2999999999999999E-3</v>
      </c>
      <c r="X492" s="5"/>
      <c r="Y492" s="5"/>
      <c r="Z492" s="5"/>
      <c r="AA492" s="5"/>
      <c r="AB492" s="2">
        <v>1.9300000000000001E-3</v>
      </c>
      <c r="AC492" s="5"/>
      <c r="AD492" s="5"/>
      <c r="AE492" s="5"/>
      <c r="AF492" s="5"/>
      <c r="AG492" s="5"/>
      <c r="AH492" s="5"/>
      <c r="AI492" s="5"/>
      <c r="AJ492" s="2">
        <v>1.8699999999999999E-3</v>
      </c>
      <c r="AK492" s="5"/>
      <c r="AL492" s="5"/>
      <c r="AM492" s="5"/>
      <c r="AN492" s="2">
        <v>1.8699999999999999E-3</v>
      </c>
      <c r="AO492" s="5"/>
      <c r="AP492" s="79">
        <v>0</v>
      </c>
    </row>
    <row r="493" spans="1:42">
      <c r="A493" s="8" t="s">
        <v>738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4">
        <v>0</v>
      </c>
      <c r="AP493" s="68"/>
    </row>
    <row r="494" spans="1:42">
      <c r="A494" s="8" t="s">
        <v>739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2">
        <v>0</v>
      </c>
      <c r="AP494" s="77"/>
    </row>
    <row r="495" spans="1:42">
      <c r="A495" s="8" t="s">
        <v>272</v>
      </c>
      <c r="B495" s="4">
        <v>4.7E-2</v>
      </c>
      <c r="C495" s="4">
        <v>7.1400000000000005E-2</v>
      </c>
      <c r="D495" s="4">
        <v>5.4800000000000001E-2</v>
      </c>
      <c r="E495" s="4">
        <v>7.6200000000000004E-2</v>
      </c>
      <c r="F495" s="4">
        <v>8.9399999999999993E-2</v>
      </c>
      <c r="G495" s="4">
        <v>5.21E-2</v>
      </c>
      <c r="H495" s="4">
        <v>8.8499999999999995E-2</v>
      </c>
      <c r="I495" s="4">
        <v>6.6799999999999998E-2</v>
      </c>
      <c r="J495" s="4">
        <v>6.3299999999999995E-2</v>
      </c>
      <c r="K495" s="4">
        <v>7.2599999999999998E-2</v>
      </c>
      <c r="L495" s="4">
        <v>4.6699999999999998E-2</v>
      </c>
      <c r="M495" s="4">
        <v>4.9299999999999997E-2</v>
      </c>
      <c r="N495" s="4">
        <v>6.0100000000000001E-2</v>
      </c>
      <c r="O495" s="4">
        <v>3.5099999999999999E-2</v>
      </c>
      <c r="P495" s="4">
        <v>7.3899999999999993E-2</v>
      </c>
      <c r="Q495" s="4">
        <v>8.0799999999999997E-2</v>
      </c>
      <c r="R495" s="4">
        <v>7.8100000000000003E-2</v>
      </c>
      <c r="S495" s="4">
        <v>6.1899999999999997E-2</v>
      </c>
      <c r="T495" s="4">
        <v>2.18E-2</v>
      </c>
      <c r="U495" s="4">
        <v>4.1700000000000001E-2</v>
      </c>
      <c r="V495" s="4">
        <v>0.10100000000000001</v>
      </c>
      <c r="W495" s="4">
        <v>4.1599999999999998E-2</v>
      </c>
      <c r="X495" s="4">
        <v>4.6899999999999997E-2</v>
      </c>
      <c r="Y495" s="4">
        <v>6.88E-2</v>
      </c>
      <c r="Z495" s="4">
        <v>4.3200000000000002E-2</v>
      </c>
      <c r="AA495" s="3"/>
      <c r="AB495" s="4">
        <v>0.11</v>
      </c>
      <c r="AC495" s="4">
        <v>8.7900000000000006E-2</v>
      </c>
      <c r="AD495" s="4">
        <v>8.8900000000000007E-2</v>
      </c>
      <c r="AE495" s="4">
        <v>8.4199999999999997E-2</v>
      </c>
      <c r="AF495" s="3"/>
      <c r="AG495" s="3"/>
      <c r="AH495" s="4">
        <v>6.2600000000000003E-2</v>
      </c>
      <c r="AI495" s="4">
        <v>6.8199999999999997E-2</v>
      </c>
      <c r="AJ495" s="4">
        <v>6.2199999999999998E-2</v>
      </c>
      <c r="AK495" s="4">
        <v>0.14000000000000001</v>
      </c>
      <c r="AL495" s="4">
        <v>8.5300000000000001E-2</v>
      </c>
      <c r="AM495" s="3"/>
      <c r="AN495" s="4">
        <v>8.3699999999999997E-2</v>
      </c>
      <c r="AO495" s="4">
        <v>3.2800000000000003E-2</v>
      </c>
      <c r="AP495" s="78">
        <v>39.299999999999997</v>
      </c>
    </row>
    <row r="496" spans="1:42">
      <c r="A496" s="8" t="s">
        <v>740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2">
        <v>0</v>
      </c>
      <c r="AP496" s="77"/>
    </row>
    <row r="497" spans="1:42">
      <c r="A497" s="8" t="s">
        <v>273</v>
      </c>
      <c r="B497" s="4">
        <v>1.83E-2</v>
      </c>
      <c r="C497" s="4">
        <v>5.1900000000000002E-2</v>
      </c>
      <c r="D497" s="4">
        <v>9.11E-2</v>
      </c>
      <c r="E497" s="4">
        <v>0.19900000000000001</v>
      </c>
      <c r="F497" s="4">
        <v>0.36799999999999999</v>
      </c>
      <c r="G497" s="4">
        <v>6.7299999999999999E-2</v>
      </c>
      <c r="H497" s="4">
        <v>1.14E-2</v>
      </c>
      <c r="I497" s="4">
        <v>2.9100000000000001E-2</v>
      </c>
      <c r="J497" s="4">
        <v>2.7900000000000001E-2</v>
      </c>
      <c r="K497" s="4">
        <v>7.2400000000000006E-2</v>
      </c>
      <c r="L497" s="4">
        <v>2.4E-2</v>
      </c>
      <c r="M497" s="4">
        <v>1.0699999999999999E-2</v>
      </c>
      <c r="N497" s="4">
        <v>2.41E-2</v>
      </c>
      <c r="O497" s="3"/>
      <c r="P497" s="4">
        <v>2.9100000000000001E-2</v>
      </c>
      <c r="Q497" s="3"/>
      <c r="R497" s="4">
        <v>3.8899999999999997E-2</v>
      </c>
      <c r="S497" s="4">
        <v>1.4999999999999999E-2</v>
      </c>
      <c r="T497" s="4">
        <v>1.29E-2</v>
      </c>
      <c r="U497" s="4">
        <v>2.6200000000000001E-2</v>
      </c>
      <c r="V497" s="4">
        <v>2.7099999999999999E-2</v>
      </c>
      <c r="W497" s="4">
        <v>2.47E-2</v>
      </c>
      <c r="X497" s="4">
        <v>3.09E-2</v>
      </c>
      <c r="Y497" s="4">
        <v>2.4899999999999999E-2</v>
      </c>
      <c r="Z497" s="4">
        <v>3.2300000000000002E-2</v>
      </c>
      <c r="AA497" s="3"/>
      <c r="AB497" s="4">
        <v>3.1800000000000002E-2</v>
      </c>
      <c r="AC497" s="4">
        <v>5.1900000000000002E-2</v>
      </c>
      <c r="AD497" s="4">
        <v>4.0599999999999997E-2</v>
      </c>
      <c r="AE497" s="4">
        <v>0.114</v>
      </c>
      <c r="AF497" s="3"/>
      <c r="AG497" s="3"/>
      <c r="AH497" s="4">
        <v>2.1899999999999999E-2</v>
      </c>
      <c r="AI497" s="4">
        <v>2.5600000000000001E-2</v>
      </c>
      <c r="AJ497" s="4">
        <v>3.1099999999999999E-2</v>
      </c>
      <c r="AK497" s="4">
        <v>5.21E-2</v>
      </c>
      <c r="AL497" s="4">
        <v>4.02E-2</v>
      </c>
      <c r="AM497" s="3"/>
      <c r="AN497" s="4">
        <v>3.4200000000000001E-2</v>
      </c>
      <c r="AO497" s="4">
        <v>1.21E-2</v>
      </c>
      <c r="AP497" s="78">
        <v>35.5</v>
      </c>
    </row>
    <row r="498" spans="1:42">
      <c r="A498" s="8" t="s">
        <v>274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2">
        <v>4.8300000000000001E-3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2">
        <v>4.9899999999999996E-3</v>
      </c>
      <c r="X498" s="5"/>
      <c r="Y498" s="2">
        <v>2.8700000000000002E-3</v>
      </c>
      <c r="Z498" s="2">
        <v>2.7000000000000001E-3</v>
      </c>
      <c r="AA498" s="5"/>
      <c r="AB498" s="2">
        <v>5.3200000000000001E-3</v>
      </c>
      <c r="AC498" s="2">
        <v>4.0800000000000003E-3</v>
      </c>
      <c r="AD498" s="5"/>
      <c r="AE498" s="5"/>
      <c r="AF498" s="5"/>
      <c r="AG498" s="5"/>
      <c r="AH498" s="5"/>
      <c r="AI498" s="5"/>
      <c r="AJ498" s="2">
        <v>6.3400000000000001E-3</v>
      </c>
      <c r="AK498" s="5"/>
      <c r="AL498" s="5"/>
      <c r="AM498" s="5"/>
      <c r="AN498" s="2">
        <v>6.3400000000000001E-3</v>
      </c>
      <c r="AO498" s="5"/>
      <c r="AP498" s="79">
        <v>0</v>
      </c>
    </row>
    <row r="499" spans="1:42">
      <c r="A499" s="8" t="s">
        <v>275</v>
      </c>
      <c r="B499" s="3"/>
      <c r="C499" s="4">
        <v>3.32E-3</v>
      </c>
      <c r="D499" s="3"/>
      <c r="E499" s="3"/>
      <c r="F499" s="3"/>
      <c r="G499" s="3"/>
      <c r="H499" s="3"/>
      <c r="I499" s="4">
        <v>1.24E-3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4">
        <v>3.5799999999999998E-3</v>
      </c>
      <c r="X499" s="3"/>
      <c r="Y499" s="3"/>
      <c r="Z499" s="3"/>
      <c r="AA499" s="3"/>
      <c r="AB499" s="4">
        <v>3.5500000000000002E-3</v>
      </c>
      <c r="AC499" s="3"/>
      <c r="AD499" s="3"/>
      <c r="AE499" s="3"/>
      <c r="AF499" s="3"/>
      <c r="AG499" s="3"/>
      <c r="AH499" s="3"/>
      <c r="AI499" s="3"/>
      <c r="AJ499" s="4">
        <v>1.5499999999999999E-3</v>
      </c>
      <c r="AK499" s="3"/>
      <c r="AL499" s="3"/>
      <c r="AM499" s="3"/>
      <c r="AN499" s="4">
        <v>1.5499999999999999E-3</v>
      </c>
      <c r="AO499" s="3"/>
      <c r="AP499" s="78">
        <v>0</v>
      </c>
    </row>
    <row r="500" spans="1:42">
      <c r="A500" s="8" t="s">
        <v>276</v>
      </c>
      <c r="B500" s="2">
        <v>1.72E-2</v>
      </c>
      <c r="C500" s="2">
        <v>4.1500000000000002E-2</v>
      </c>
      <c r="D500" s="2">
        <v>5.3900000000000003E-2</v>
      </c>
      <c r="E500" s="2">
        <v>7.5600000000000001E-2</v>
      </c>
      <c r="F500" s="2">
        <v>0.13400000000000001</v>
      </c>
      <c r="G500" s="2">
        <v>5.2200000000000003E-2</v>
      </c>
      <c r="H500" s="2">
        <v>2.8500000000000001E-2</v>
      </c>
      <c r="I500" s="2">
        <v>2.63E-2</v>
      </c>
      <c r="J500" s="2">
        <v>2.3599999999999999E-2</v>
      </c>
      <c r="K500" s="2">
        <v>4.8800000000000003E-2</v>
      </c>
      <c r="L500" s="2">
        <v>2.4799999999999999E-2</v>
      </c>
      <c r="M500" s="2">
        <v>1.23E-2</v>
      </c>
      <c r="N500" s="2">
        <v>2.07E-2</v>
      </c>
      <c r="O500" s="2">
        <v>9.8200000000000006E-3</v>
      </c>
      <c r="P500" s="2">
        <v>2.8500000000000001E-2</v>
      </c>
      <c r="Q500" s="2">
        <v>2.7699999999999999E-2</v>
      </c>
      <c r="R500" s="2">
        <v>3.8300000000000001E-2</v>
      </c>
      <c r="S500" s="2">
        <v>1.8100000000000002E-2</v>
      </c>
      <c r="T500" s="2">
        <v>1.46E-2</v>
      </c>
      <c r="U500" s="2">
        <v>1.9099999999999999E-2</v>
      </c>
      <c r="V500" s="2">
        <v>2.53E-2</v>
      </c>
      <c r="W500" s="2">
        <v>2.1600000000000001E-2</v>
      </c>
      <c r="X500" s="2">
        <v>2.1899999999999999E-2</v>
      </c>
      <c r="Y500" s="2">
        <v>2.2599999999999999E-2</v>
      </c>
      <c r="Z500" s="2">
        <v>2.1600000000000001E-2</v>
      </c>
      <c r="AA500" s="5"/>
      <c r="AB500" s="2">
        <v>3.9699999999999999E-2</v>
      </c>
      <c r="AC500" s="2">
        <v>4.8899999999999999E-2</v>
      </c>
      <c r="AD500" s="2">
        <v>5.0700000000000002E-2</v>
      </c>
      <c r="AE500" s="2">
        <v>5.62E-2</v>
      </c>
      <c r="AF500" s="5"/>
      <c r="AG500" s="5"/>
      <c r="AH500" s="2">
        <v>1.9E-2</v>
      </c>
      <c r="AI500" s="2">
        <v>1.9E-2</v>
      </c>
      <c r="AJ500" s="2">
        <v>2.53E-2</v>
      </c>
      <c r="AK500" s="2">
        <v>4.7800000000000002E-2</v>
      </c>
      <c r="AL500" s="2">
        <v>3.5499999999999997E-2</v>
      </c>
      <c r="AM500" s="5"/>
      <c r="AN500" s="2">
        <v>2.93E-2</v>
      </c>
      <c r="AO500" s="2">
        <v>1.23E-2</v>
      </c>
      <c r="AP500" s="79">
        <v>42</v>
      </c>
    </row>
    <row r="501" spans="1:42">
      <c r="A501" s="8" t="s">
        <v>741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4">
        <v>0</v>
      </c>
      <c r="AP501" s="68"/>
    </row>
    <row r="502" spans="1:42">
      <c r="A502" s="8" t="s">
        <v>277</v>
      </c>
      <c r="B502" s="5"/>
      <c r="C502" s="2">
        <v>4.1000000000000003E-3</v>
      </c>
      <c r="D502" s="5"/>
      <c r="E502" s="5"/>
      <c r="F502" s="5"/>
      <c r="G502" s="5"/>
      <c r="H502" s="2">
        <v>4.7999999999999996E-3</v>
      </c>
      <c r="I502" s="2">
        <v>5.1599999999999997E-3</v>
      </c>
      <c r="J502" s="2">
        <v>4.3299999999999996E-3</v>
      </c>
      <c r="K502" s="5"/>
      <c r="L502" s="2">
        <v>6.62E-3</v>
      </c>
      <c r="M502" s="5"/>
      <c r="N502" s="5"/>
      <c r="O502" s="5"/>
      <c r="P502" s="5"/>
      <c r="Q502" s="5"/>
      <c r="R502" s="5"/>
      <c r="S502" s="5"/>
      <c r="T502" s="2">
        <v>2.8300000000000001E-3</v>
      </c>
      <c r="U502" s="2">
        <v>1.34E-2</v>
      </c>
      <c r="V502" s="2">
        <v>2.2200000000000002E-3</v>
      </c>
      <c r="W502" s="2">
        <v>5.5500000000000002E-3</v>
      </c>
      <c r="X502" s="2">
        <v>1.1900000000000001E-3</v>
      </c>
      <c r="Y502" s="2">
        <v>1.42E-3</v>
      </c>
      <c r="Z502" s="5"/>
      <c r="AA502" s="5"/>
      <c r="AB502" s="5"/>
      <c r="AC502" s="2">
        <v>1.3500000000000001E-3</v>
      </c>
      <c r="AD502" s="5"/>
      <c r="AE502" s="5"/>
      <c r="AF502" s="5"/>
      <c r="AG502" s="5"/>
      <c r="AH502" s="2">
        <v>1.3600000000000001E-3</v>
      </c>
      <c r="AI502" s="5"/>
      <c r="AJ502" s="2">
        <v>6.7099999999999998E-3</v>
      </c>
      <c r="AK502" s="5"/>
      <c r="AL502" s="5"/>
      <c r="AM502" s="5"/>
      <c r="AN502" s="2">
        <v>4.0299999999999997E-3</v>
      </c>
      <c r="AO502" s="2">
        <v>3.79E-3</v>
      </c>
      <c r="AP502" s="79">
        <v>93.9</v>
      </c>
    </row>
    <row r="503" spans="1:42">
      <c r="A503" s="8" t="s">
        <v>278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">
        <v>2.7100000000000002E-3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4">
        <v>1.82E-3</v>
      </c>
      <c r="AK503" s="3"/>
      <c r="AL503" s="3"/>
      <c r="AM503" s="3"/>
      <c r="AN503" s="4">
        <v>1.82E-3</v>
      </c>
      <c r="AO503" s="3"/>
      <c r="AP503" s="78">
        <v>0</v>
      </c>
    </row>
    <row r="504" spans="1:42">
      <c r="A504" s="8" t="s">
        <v>742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2">
        <v>0</v>
      </c>
      <c r="AP504" s="77"/>
    </row>
    <row r="505" spans="1:42">
      <c r="A505" s="8" t="s">
        <v>279</v>
      </c>
      <c r="B505" s="3"/>
      <c r="C505" s="4">
        <v>3.3E-3</v>
      </c>
      <c r="D505" s="4">
        <v>1.8500000000000001E-3</v>
      </c>
      <c r="E505" s="3"/>
      <c r="F505" s="3"/>
      <c r="G505" s="3"/>
      <c r="H505" s="4">
        <v>1.42E-3</v>
      </c>
      <c r="I505" s="4">
        <v>1.41E-3</v>
      </c>
      <c r="J505" s="3"/>
      <c r="K505" s="3"/>
      <c r="L505" s="4">
        <v>2.3999999999999998E-3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4">
        <v>3.0799999999999998E-3</v>
      </c>
      <c r="AC505" s="4">
        <v>1.4400000000000001E-3</v>
      </c>
      <c r="AD505" s="3"/>
      <c r="AE505" s="3"/>
      <c r="AF505" s="3"/>
      <c r="AG505" s="3"/>
      <c r="AH505" s="3"/>
      <c r="AI505" s="3"/>
      <c r="AJ505" s="4">
        <v>1.39E-3</v>
      </c>
      <c r="AK505" s="3"/>
      <c r="AL505" s="3"/>
      <c r="AM505" s="3"/>
      <c r="AN505" s="4">
        <v>1.39E-3</v>
      </c>
      <c r="AO505" s="3"/>
      <c r="AP505" s="78">
        <v>0</v>
      </c>
    </row>
    <row r="506" spans="1:42">
      <c r="A506" s="8" t="s">
        <v>743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2">
        <v>0</v>
      </c>
      <c r="AP506" s="77"/>
    </row>
    <row r="507" spans="1:42">
      <c r="A507" s="8" t="s">
        <v>280</v>
      </c>
      <c r="B507" s="4">
        <v>12.8</v>
      </c>
      <c r="C507" s="4">
        <v>2.19</v>
      </c>
      <c r="D507" s="4">
        <v>0.159</v>
      </c>
      <c r="E507" s="4">
        <v>4.54</v>
      </c>
      <c r="F507" s="4">
        <v>3.12</v>
      </c>
      <c r="G507" s="4">
        <v>4.33</v>
      </c>
      <c r="H507" s="4">
        <v>2.3199999999999998</v>
      </c>
      <c r="I507" s="4">
        <v>6.53</v>
      </c>
      <c r="J507" s="4">
        <v>2.25</v>
      </c>
      <c r="K507" s="4">
        <v>10.9</v>
      </c>
      <c r="L507" s="4">
        <v>7.3099999999999998E-2</v>
      </c>
      <c r="M507" s="4">
        <v>22.1</v>
      </c>
      <c r="N507" s="4">
        <v>9.4700000000000006</v>
      </c>
      <c r="O507" s="4">
        <v>6.31</v>
      </c>
      <c r="P507" s="4">
        <v>10.7</v>
      </c>
      <c r="Q507" s="4">
        <v>0.22800000000000001</v>
      </c>
      <c r="R507" s="4">
        <v>8.15</v>
      </c>
      <c r="S507" s="4">
        <v>18.5</v>
      </c>
      <c r="T507" s="4">
        <v>10.5</v>
      </c>
      <c r="U507" s="4">
        <v>2.72</v>
      </c>
      <c r="V507" s="4">
        <v>10.9</v>
      </c>
      <c r="W507" s="4">
        <v>15</v>
      </c>
      <c r="X507" s="4">
        <v>11.7</v>
      </c>
      <c r="Y507" s="4">
        <v>10.9</v>
      </c>
      <c r="Z507" s="4">
        <v>13.5</v>
      </c>
      <c r="AA507" s="3"/>
      <c r="AB507" s="4">
        <v>15.5</v>
      </c>
      <c r="AC507" s="4">
        <v>10.5</v>
      </c>
      <c r="AD507" s="4">
        <v>9.1999999999999993</v>
      </c>
      <c r="AE507" s="4">
        <v>1.31</v>
      </c>
      <c r="AF507" s="3"/>
      <c r="AG507" s="3"/>
      <c r="AH507" s="4">
        <v>6.11</v>
      </c>
      <c r="AI507" s="4">
        <v>12.2</v>
      </c>
      <c r="AJ507" s="4">
        <v>5.0599999999999999E-2</v>
      </c>
      <c r="AK507" s="4">
        <v>8.76</v>
      </c>
      <c r="AL507" s="4">
        <v>12.4</v>
      </c>
      <c r="AM507" s="3"/>
      <c r="AN507" s="4">
        <v>7.91</v>
      </c>
      <c r="AO507" s="4">
        <v>5.1100000000000003</v>
      </c>
      <c r="AP507" s="78">
        <v>64.599999999999994</v>
      </c>
    </row>
    <row r="508" spans="1:42">
      <c r="A508" s="8" t="s">
        <v>744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2">
        <v>0</v>
      </c>
      <c r="AP508" s="77"/>
    </row>
    <row r="509" spans="1:42">
      <c r="A509" s="8" t="s">
        <v>745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4">
        <v>0</v>
      </c>
      <c r="AP509" s="68"/>
    </row>
    <row r="510" spans="1:42">
      <c r="A510" s="8" t="s">
        <v>281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2">
        <v>0.17499999999999999</v>
      </c>
      <c r="AF510" s="5"/>
      <c r="AG510" s="5"/>
      <c r="AH510" s="5"/>
      <c r="AI510" s="5"/>
      <c r="AJ510" s="5"/>
      <c r="AK510" s="2">
        <v>9.64E-2</v>
      </c>
      <c r="AL510" s="5"/>
      <c r="AM510" s="5"/>
      <c r="AN510" s="2">
        <v>9.64E-2</v>
      </c>
      <c r="AO510" s="5"/>
      <c r="AP510" s="79">
        <v>0</v>
      </c>
    </row>
    <row r="511" spans="1:42">
      <c r="A511" s="8" t="s">
        <v>746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4">
        <v>0</v>
      </c>
      <c r="AP511" s="68"/>
    </row>
    <row r="512" spans="1:42">
      <c r="A512" s="8" t="s">
        <v>747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2">
        <v>0</v>
      </c>
      <c r="AP512" s="77"/>
    </row>
    <row r="513" spans="1:42">
      <c r="A513" s="8" t="s">
        <v>282</v>
      </c>
      <c r="B513" s="4">
        <v>1.9199999999999998E-2</v>
      </c>
      <c r="C513" s="3"/>
      <c r="D513" s="3"/>
      <c r="E513" s="3"/>
      <c r="F513" s="4">
        <v>1.24E-2</v>
      </c>
      <c r="G513" s="3"/>
      <c r="H513" s="3"/>
      <c r="I513" s="3"/>
      <c r="J513" s="3"/>
      <c r="K513" s="3"/>
      <c r="L513" s="3"/>
      <c r="M513" s="4">
        <v>3.1600000000000003E-2</v>
      </c>
      <c r="N513" s="4">
        <v>9.1000000000000004E-3</v>
      </c>
      <c r="O513" s="4">
        <v>1.2200000000000001E-2</v>
      </c>
      <c r="P513" s="4">
        <v>3.4000000000000002E-2</v>
      </c>
      <c r="Q513" s="4">
        <v>1.7999999999999999E-2</v>
      </c>
      <c r="R513" s="3"/>
      <c r="S513" s="4">
        <v>1.49E-2</v>
      </c>
      <c r="T513" s="4">
        <v>2.24E-2</v>
      </c>
      <c r="U513" s="4">
        <v>2.0799999999999999E-2</v>
      </c>
      <c r="V513" s="4">
        <v>9.0600000000000003E-3</v>
      </c>
      <c r="W513" s="4">
        <v>1.6199999999999999E-2</v>
      </c>
      <c r="X513" s="4">
        <v>7.4200000000000004E-3</v>
      </c>
      <c r="Y513" s="4">
        <v>9.0299999999999998E-3</v>
      </c>
      <c r="Z513" s="4">
        <v>9.0799999999999995E-3</v>
      </c>
      <c r="AA513" s="3"/>
      <c r="AB513" s="4">
        <v>4.4200000000000003E-2</v>
      </c>
      <c r="AC513" s="3"/>
      <c r="AD513" s="3"/>
      <c r="AE513" s="3"/>
      <c r="AF513" s="3"/>
      <c r="AG513" s="3"/>
      <c r="AH513" s="4">
        <v>8.6899999999999998E-3</v>
      </c>
      <c r="AI513" s="4">
        <v>1.8200000000000001E-2</v>
      </c>
      <c r="AJ513" s="3"/>
      <c r="AK513" s="4">
        <v>1.11E-2</v>
      </c>
      <c r="AL513" s="4">
        <v>2.8899999999999999E-2</v>
      </c>
      <c r="AM513" s="3"/>
      <c r="AN513" s="4">
        <v>1.67E-2</v>
      </c>
      <c r="AO513" s="4">
        <v>9.0600000000000003E-3</v>
      </c>
      <c r="AP513" s="78">
        <v>54.1</v>
      </c>
    </row>
    <row r="514" spans="1:42">
      <c r="A514" s="8" t="s">
        <v>748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2">
        <v>1.5299999999999999E-2</v>
      </c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2">
        <v>0</v>
      </c>
      <c r="AP514" s="77"/>
    </row>
    <row r="515" spans="1:42">
      <c r="A515" s="8" t="s">
        <v>283</v>
      </c>
      <c r="B515" s="4">
        <v>0.127</v>
      </c>
      <c r="C515" s="4">
        <v>7.5499999999999998E-2</v>
      </c>
      <c r="D515" s="4">
        <v>4.0899999999999999E-2</v>
      </c>
      <c r="E515" s="4">
        <v>8.8800000000000004E-2</v>
      </c>
      <c r="F515" s="4">
        <v>0.223</v>
      </c>
      <c r="G515" s="4">
        <v>7.9500000000000001E-2</v>
      </c>
      <c r="H515" s="4">
        <v>6.7599999999999993E-2</v>
      </c>
      <c r="I515" s="4">
        <v>8.0500000000000002E-2</v>
      </c>
      <c r="J515" s="4">
        <v>6.9199999999999998E-2</v>
      </c>
      <c r="K515" s="4">
        <v>0.14599999999999999</v>
      </c>
      <c r="L515" s="4">
        <v>3.9699999999999999E-2</v>
      </c>
      <c r="M515" s="4">
        <v>0.14499999999999999</v>
      </c>
      <c r="N515" s="4">
        <v>0.14699999999999999</v>
      </c>
      <c r="O515" s="4">
        <v>8.4000000000000005E-2</v>
      </c>
      <c r="P515" s="4">
        <v>0.104</v>
      </c>
      <c r="Q515" s="4">
        <v>0.157</v>
      </c>
      <c r="R515" s="4">
        <v>7.9600000000000004E-2</v>
      </c>
      <c r="S515" s="4">
        <v>0.13100000000000001</v>
      </c>
      <c r="T515" s="4">
        <v>0.11700000000000001</v>
      </c>
      <c r="U515" s="4">
        <v>2.8799999999999999E-2</v>
      </c>
      <c r="V515" s="4">
        <v>8.9800000000000005E-2</v>
      </c>
      <c r="W515" s="4">
        <v>7.0199999999999999E-2</v>
      </c>
      <c r="X515" s="4">
        <v>6.9800000000000001E-2</v>
      </c>
      <c r="Y515" s="4">
        <v>5.7099999999999998E-2</v>
      </c>
      <c r="Z515" s="4">
        <v>9.5699999999999993E-2</v>
      </c>
      <c r="AA515" s="3"/>
      <c r="AB515" s="4">
        <v>7.8299999999999995E-2</v>
      </c>
      <c r="AC515" s="4">
        <v>0.122</v>
      </c>
      <c r="AD515" s="4">
        <v>0.1</v>
      </c>
      <c r="AE515" s="4">
        <v>0.29299999999999998</v>
      </c>
      <c r="AF515" s="3"/>
      <c r="AG515" s="3"/>
      <c r="AH515" s="3"/>
      <c r="AI515" s="4">
        <v>0.16600000000000001</v>
      </c>
      <c r="AJ515" s="4">
        <v>4.4200000000000003E-2</v>
      </c>
      <c r="AK515" s="4">
        <v>0.20300000000000001</v>
      </c>
      <c r="AL515" s="4">
        <v>0.108</v>
      </c>
      <c r="AM515" s="3"/>
      <c r="AN515" s="4">
        <v>0.13</v>
      </c>
      <c r="AO515" s="4">
        <v>6.9599999999999995E-2</v>
      </c>
      <c r="AP515" s="78">
        <v>53.4</v>
      </c>
    </row>
    <row r="516" spans="1:42">
      <c r="A516" s="8" t="s">
        <v>284</v>
      </c>
      <c r="B516" s="5"/>
      <c r="C516" s="2">
        <v>3.2799999999999999E-3</v>
      </c>
      <c r="D516" s="2">
        <v>1.58E-3</v>
      </c>
      <c r="E516" s="5"/>
      <c r="F516" s="5"/>
      <c r="G516" s="5"/>
      <c r="H516" s="5"/>
      <c r="I516" s="2">
        <v>1.2800000000000001E-3</v>
      </c>
      <c r="J516" s="5"/>
      <c r="K516" s="5"/>
      <c r="L516" s="2">
        <v>1.82E-3</v>
      </c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2">
        <v>1.7899999999999999E-3</v>
      </c>
      <c r="X516" s="5"/>
      <c r="Y516" s="5"/>
      <c r="Z516" s="5"/>
      <c r="AA516" s="5"/>
      <c r="AB516" s="2">
        <v>2.8700000000000002E-3</v>
      </c>
      <c r="AC516" s="2">
        <v>9.8299999999999993E-4</v>
      </c>
      <c r="AD516" s="5"/>
      <c r="AE516" s="5"/>
      <c r="AF516" s="5"/>
      <c r="AG516" s="5"/>
      <c r="AH516" s="5"/>
      <c r="AI516" s="5"/>
      <c r="AJ516" s="2">
        <v>1.56E-3</v>
      </c>
      <c r="AK516" s="5"/>
      <c r="AL516" s="5"/>
      <c r="AM516" s="5"/>
      <c r="AN516" s="2">
        <v>1.56E-3</v>
      </c>
      <c r="AO516" s="5"/>
      <c r="AP516" s="79">
        <v>0</v>
      </c>
    </row>
    <row r="517" spans="1:42">
      <c r="A517" s="8" t="s">
        <v>749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4">
        <v>0</v>
      </c>
      <c r="AP517" s="68"/>
    </row>
    <row r="518" spans="1:42">
      <c r="A518" s="8" t="s">
        <v>750</v>
      </c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2">
        <v>0</v>
      </c>
      <c r="AP518" s="77"/>
    </row>
    <row r="519" spans="1:42">
      <c r="A519" s="8" t="s">
        <v>751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4">
        <v>0</v>
      </c>
      <c r="AP519" s="68"/>
    </row>
    <row r="520" spans="1:42">
      <c r="A520" s="8" t="s">
        <v>752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2">
        <v>0</v>
      </c>
      <c r="AP520" s="77"/>
    </row>
    <row r="521" spans="1:42">
      <c r="A521" s="8" t="s">
        <v>285</v>
      </c>
      <c r="B521" s="4">
        <v>0.20799999999999999</v>
      </c>
      <c r="C521" s="4">
        <v>0.54900000000000004</v>
      </c>
      <c r="D521" s="4">
        <v>0.22900000000000001</v>
      </c>
      <c r="E521" s="4">
        <v>0.17799999999999999</v>
      </c>
      <c r="F521" s="4">
        <v>0.66100000000000003</v>
      </c>
      <c r="G521" s="4">
        <v>3.4299999999999997E-2</v>
      </c>
      <c r="H521" s="4">
        <v>2.57</v>
      </c>
      <c r="I521" s="4">
        <v>1.53</v>
      </c>
      <c r="J521" s="4">
        <v>3.46</v>
      </c>
      <c r="K521" s="4">
        <v>0.60799999999999998</v>
      </c>
      <c r="L521" s="4">
        <v>2.9</v>
      </c>
      <c r="M521" s="4">
        <v>0.16900000000000001</v>
      </c>
      <c r="N521" s="4">
        <v>3.2099999999999997E-2</v>
      </c>
      <c r="O521" s="4">
        <v>0.17199999999999999</v>
      </c>
      <c r="P521" s="4">
        <v>0.28999999999999998</v>
      </c>
      <c r="Q521" s="4">
        <v>1.86</v>
      </c>
      <c r="R521" s="4">
        <v>0.39</v>
      </c>
      <c r="S521" s="4">
        <v>1.1299999999999999</v>
      </c>
      <c r="T521" s="4">
        <v>1.91</v>
      </c>
      <c r="U521" s="4">
        <v>2.58</v>
      </c>
      <c r="V521" s="4">
        <v>0.72099999999999997</v>
      </c>
      <c r="W521" s="4">
        <v>0.66400000000000003</v>
      </c>
      <c r="X521" s="4">
        <v>0.182</v>
      </c>
      <c r="Y521" s="4">
        <v>0.59399999999999997</v>
      </c>
      <c r="Z521" s="4">
        <v>0.42099999999999999</v>
      </c>
      <c r="AA521" s="3"/>
      <c r="AB521" s="4">
        <v>0.252</v>
      </c>
      <c r="AC521" s="4">
        <v>0.29099999999999998</v>
      </c>
      <c r="AD521" s="4">
        <v>0.33400000000000002</v>
      </c>
      <c r="AE521" s="4">
        <v>1.47</v>
      </c>
      <c r="AF521" s="3"/>
      <c r="AG521" s="3"/>
      <c r="AH521" s="3"/>
      <c r="AI521" s="4">
        <v>0.126</v>
      </c>
      <c r="AJ521" s="4">
        <v>3.67</v>
      </c>
      <c r="AK521" s="4">
        <v>1.4</v>
      </c>
      <c r="AL521" s="4">
        <v>8.3000000000000004E-2</v>
      </c>
      <c r="AM521" s="3"/>
      <c r="AN521" s="4">
        <v>1.32</v>
      </c>
      <c r="AO521" s="4">
        <v>1.68</v>
      </c>
      <c r="AP521" s="78">
        <v>128</v>
      </c>
    </row>
    <row r="522" spans="1:42">
      <c r="A522" s="8" t="s">
        <v>753</v>
      </c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2">
        <v>0</v>
      </c>
      <c r="AP522" s="77"/>
    </row>
    <row r="523" spans="1:42">
      <c r="A523" s="9" t="s">
        <v>140</v>
      </c>
      <c r="B523" s="3"/>
      <c r="C523" s="4">
        <v>2.4799999999999999E-2</v>
      </c>
      <c r="D523" s="4">
        <v>3.9199999999999999E-2</v>
      </c>
      <c r="E523" s="4">
        <v>1.6199999999999999E-3</v>
      </c>
      <c r="F523" s="4">
        <v>5.9300000000000004E-3</v>
      </c>
      <c r="G523" s="4">
        <v>2.3099999999999999E-2</v>
      </c>
      <c r="H523" s="4">
        <v>4.6600000000000003E-2</v>
      </c>
      <c r="I523" s="4">
        <v>3.1800000000000002E-2</v>
      </c>
      <c r="J523" s="4">
        <v>5.1799999999999999E-2</v>
      </c>
      <c r="K523" s="3"/>
      <c r="L523" s="3"/>
      <c r="M523" s="3"/>
      <c r="N523" s="3"/>
      <c r="O523" s="3"/>
      <c r="P523" s="3"/>
      <c r="Q523" s="3"/>
      <c r="R523" s="3"/>
      <c r="S523" s="3"/>
      <c r="T523" s="4">
        <v>9.2200000000000004E-2</v>
      </c>
      <c r="U523" s="4">
        <v>4.1300000000000003E-2</v>
      </c>
      <c r="V523" s="4">
        <v>3.4299999999999997E-2</v>
      </c>
      <c r="W523" s="3"/>
      <c r="X523" s="3"/>
      <c r="Y523" s="3"/>
      <c r="Z523" s="4">
        <v>2.93E-2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4">
        <v>0</v>
      </c>
      <c r="AP523" s="68"/>
    </row>
    <row r="524" spans="1:42">
      <c r="A524" s="9" t="s">
        <v>754</v>
      </c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2">
        <v>0</v>
      </c>
      <c r="AP524" s="77"/>
    </row>
    <row r="525" spans="1:42">
      <c r="A525" s="9" t="s">
        <v>286</v>
      </c>
      <c r="B525" s="3"/>
      <c r="C525" s="4">
        <v>5.2600000000000001E-2</v>
      </c>
      <c r="D525" s="4">
        <v>0.32400000000000001</v>
      </c>
      <c r="E525" s="3"/>
      <c r="F525" s="4">
        <v>0.124</v>
      </c>
      <c r="G525" s="4">
        <v>0.13100000000000001</v>
      </c>
      <c r="H525" s="4">
        <v>0.13800000000000001</v>
      </c>
      <c r="I525" s="4">
        <v>0.17599999999999999</v>
      </c>
      <c r="J525" s="4">
        <v>0.20799999999999999</v>
      </c>
      <c r="K525" s="4">
        <v>6.8099999999999994E-2</v>
      </c>
      <c r="L525" s="4">
        <v>0.16</v>
      </c>
      <c r="M525" s="4">
        <v>0.104</v>
      </c>
      <c r="N525" s="4">
        <v>6.1899999999999997E-2</v>
      </c>
      <c r="O525" s="3"/>
      <c r="P525" s="4">
        <v>0.13400000000000001</v>
      </c>
      <c r="Q525" s="3"/>
      <c r="R525" s="4">
        <v>8.1100000000000005E-2</v>
      </c>
      <c r="S525" s="3"/>
      <c r="T525" s="3"/>
      <c r="U525" s="4">
        <v>0.23100000000000001</v>
      </c>
      <c r="V525" s="4">
        <v>0.15</v>
      </c>
      <c r="W525" s="4">
        <v>0.18</v>
      </c>
      <c r="X525" s="3"/>
      <c r="Y525" s="4">
        <v>0.18099999999999999</v>
      </c>
      <c r="Z525" s="4">
        <v>0.23300000000000001</v>
      </c>
      <c r="AA525" s="3"/>
      <c r="AB525" s="4">
        <v>0.127</v>
      </c>
      <c r="AC525" s="4">
        <v>9.35E-2</v>
      </c>
      <c r="AD525" s="4">
        <v>0.16800000000000001</v>
      </c>
      <c r="AE525" s="4">
        <v>0.107</v>
      </c>
      <c r="AF525" s="3"/>
      <c r="AG525" s="3"/>
      <c r="AH525" s="3"/>
      <c r="AI525" s="3"/>
      <c r="AJ525" s="4">
        <v>0.13700000000000001</v>
      </c>
      <c r="AK525" s="4">
        <v>0.151</v>
      </c>
      <c r="AL525" s="4">
        <v>6.6199999999999995E-2</v>
      </c>
      <c r="AM525" s="3"/>
      <c r="AN525" s="4">
        <v>0.11799999999999999</v>
      </c>
      <c r="AO525" s="4">
        <v>4.5400000000000003E-2</v>
      </c>
      <c r="AP525" s="78">
        <v>38.5</v>
      </c>
    </row>
    <row r="526" spans="1:42">
      <c r="A526" s="9" t="s">
        <v>755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2">
        <v>0</v>
      </c>
      <c r="AP526" s="77"/>
    </row>
    <row r="527" spans="1:42">
      <c r="A527" s="9" t="s">
        <v>287</v>
      </c>
      <c r="B527" s="4">
        <v>0.26100000000000001</v>
      </c>
      <c r="C527" s="4">
        <v>0.28399999999999997</v>
      </c>
      <c r="D527" s="3"/>
      <c r="E527" s="4">
        <v>2.1399999999999999E-2</v>
      </c>
      <c r="F527" s="4">
        <v>0.70099999999999996</v>
      </c>
      <c r="G527" s="4">
        <v>7.6999999999999999E-2</v>
      </c>
      <c r="H527" s="4">
        <v>0.79200000000000004</v>
      </c>
      <c r="I527" s="4">
        <v>0.76800000000000002</v>
      </c>
      <c r="J527" s="4">
        <v>0.97499999999999998</v>
      </c>
      <c r="K527" s="4">
        <v>0.41799999999999998</v>
      </c>
      <c r="L527" s="4">
        <v>0.63900000000000001</v>
      </c>
      <c r="M527" s="4">
        <v>0.20200000000000001</v>
      </c>
      <c r="N527" s="4">
        <v>4.3200000000000002E-2</v>
      </c>
      <c r="O527" s="4">
        <v>8.0699999999999994E-2</v>
      </c>
      <c r="P527" s="4">
        <v>0.33100000000000002</v>
      </c>
      <c r="Q527" s="4">
        <v>0.108</v>
      </c>
      <c r="R527" s="4">
        <v>4.8500000000000001E-2</v>
      </c>
      <c r="S527" s="4">
        <v>0.77900000000000003</v>
      </c>
      <c r="T527" s="4">
        <v>0.36699999999999999</v>
      </c>
      <c r="U527" s="4">
        <v>1.05</v>
      </c>
      <c r="V527" s="4">
        <v>0.85299999999999998</v>
      </c>
      <c r="W527" s="4">
        <v>0.66100000000000003</v>
      </c>
      <c r="X527" s="4">
        <v>0.48599999999999999</v>
      </c>
      <c r="Y527" s="4">
        <v>0.90400000000000003</v>
      </c>
      <c r="Z527" s="4">
        <v>0.69299999999999995</v>
      </c>
      <c r="AA527" s="3"/>
      <c r="AB527" s="4">
        <v>0.255</v>
      </c>
      <c r="AC527" s="4">
        <v>0.129</v>
      </c>
      <c r="AD527" s="4">
        <v>0.19400000000000001</v>
      </c>
      <c r="AE527" s="4">
        <v>0.81799999999999995</v>
      </c>
      <c r="AF527" s="3"/>
      <c r="AG527" s="3"/>
      <c r="AH527" s="4">
        <v>0.69899999999999995</v>
      </c>
      <c r="AI527" s="4">
        <v>0.24299999999999999</v>
      </c>
      <c r="AJ527" s="4">
        <v>0.67400000000000004</v>
      </c>
      <c r="AK527" s="4">
        <v>0.51100000000000001</v>
      </c>
      <c r="AL527" s="4">
        <v>6.2700000000000006E-2</v>
      </c>
      <c r="AM527" s="3"/>
      <c r="AN527" s="4">
        <v>0.438</v>
      </c>
      <c r="AO527" s="4">
        <v>0.27800000000000002</v>
      </c>
      <c r="AP527" s="78">
        <v>63.3</v>
      </c>
    </row>
    <row r="528" spans="1:42">
      <c r="A528" s="9" t="s">
        <v>756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2">
        <v>0</v>
      </c>
      <c r="AP528" s="77"/>
    </row>
    <row r="529" spans="1:42">
      <c r="A529" s="9" t="s">
        <v>757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4">
        <v>0</v>
      </c>
      <c r="AP529" s="68"/>
    </row>
    <row r="530" spans="1:42">
      <c r="A530" s="9" t="s">
        <v>288</v>
      </c>
      <c r="B530" s="5"/>
      <c r="C530" s="5"/>
      <c r="D530" s="5"/>
      <c r="E530" s="5"/>
      <c r="F530" s="5"/>
      <c r="G530" s="5"/>
      <c r="H530" s="2">
        <v>6.3699999999999998E-3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2">
        <v>1.8100000000000002E-2</v>
      </c>
      <c r="AF530" s="5"/>
      <c r="AG530" s="5"/>
      <c r="AH530" s="2">
        <v>6.9499999999999996E-3</v>
      </c>
      <c r="AI530" s="5"/>
      <c r="AJ530" s="5"/>
      <c r="AK530" s="5"/>
      <c r="AL530" s="5"/>
      <c r="AM530" s="5"/>
      <c r="AN530" s="2">
        <v>6.9499999999999996E-3</v>
      </c>
      <c r="AO530" s="5"/>
      <c r="AP530" s="79">
        <v>0</v>
      </c>
    </row>
    <row r="531" spans="1:42">
      <c r="A531" s="9" t="s">
        <v>289</v>
      </c>
      <c r="B531" s="4">
        <v>0.109</v>
      </c>
      <c r="C531" s="4">
        <v>2.1399999999999999E-2</v>
      </c>
      <c r="D531" s="4">
        <v>1.37E-2</v>
      </c>
      <c r="E531" s="4">
        <v>0.34599999999999997</v>
      </c>
      <c r="F531" s="4">
        <v>0.104</v>
      </c>
      <c r="G531" s="4">
        <v>8.4699999999999998E-2</v>
      </c>
      <c r="H531" s="4">
        <v>3.8100000000000002E-2</v>
      </c>
      <c r="I531" s="4">
        <v>3.3099999999999997E-2</v>
      </c>
      <c r="J531" s="4">
        <v>2.9399999999999999E-2</v>
      </c>
      <c r="K531" s="4">
        <v>6.2E-2</v>
      </c>
      <c r="L531" s="4">
        <v>3.4799999999999998E-2</v>
      </c>
      <c r="M531" s="4">
        <v>0.216</v>
      </c>
      <c r="N531" s="4">
        <v>7.4300000000000005E-2</v>
      </c>
      <c r="O531" s="4">
        <v>6.7599999999999993E-2</v>
      </c>
      <c r="P531" s="4">
        <v>0.14199999999999999</v>
      </c>
      <c r="Q531" s="4">
        <v>0.11600000000000001</v>
      </c>
      <c r="R531" s="4">
        <v>7.6499999999999999E-2</v>
      </c>
      <c r="S531" s="4">
        <v>3.2099999999999997E-2</v>
      </c>
      <c r="T531" s="3"/>
      <c r="U531" s="4">
        <v>0.64600000000000002</v>
      </c>
      <c r="V531" s="4">
        <v>3.0300000000000001E-2</v>
      </c>
      <c r="W531" s="4">
        <v>1.83E-2</v>
      </c>
      <c r="X531" s="4">
        <v>1.7299999999999999E-2</v>
      </c>
      <c r="Y531" s="4">
        <v>3.5999999999999997E-2</v>
      </c>
      <c r="Z531" s="4">
        <v>3.4099999999999998E-2</v>
      </c>
      <c r="AA531" s="3"/>
      <c r="AB531" s="4">
        <v>4.1200000000000001E-2</v>
      </c>
      <c r="AC531" s="4">
        <v>3.6200000000000003E-2</v>
      </c>
      <c r="AD531" s="4">
        <v>6.3200000000000006E-2</v>
      </c>
      <c r="AE531" s="4">
        <v>4.2799999999999998E-2</v>
      </c>
      <c r="AF531" s="3"/>
      <c r="AG531" s="3"/>
      <c r="AH531" s="4">
        <v>5.0700000000000002E-2</v>
      </c>
      <c r="AI531" s="4">
        <v>0.315</v>
      </c>
      <c r="AJ531" s="4">
        <v>2.4799999999999999E-2</v>
      </c>
      <c r="AK531" s="4">
        <v>7.51E-2</v>
      </c>
      <c r="AL531" s="4">
        <v>3.2199999999999999E-2</v>
      </c>
      <c r="AM531" s="3"/>
      <c r="AN531" s="4">
        <v>9.9500000000000005E-2</v>
      </c>
      <c r="AO531" s="4">
        <v>0.122</v>
      </c>
      <c r="AP531" s="78">
        <v>122</v>
      </c>
    </row>
    <row r="532" spans="1:42">
      <c r="A532" s="9" t="s">
        <v>290</v>
      </c>
      <c r="B532" s="2">
        <v>0.114</v>
      </c>
      <c r="C532" s="2">
        <v>9.5500000000000002E-2</v>
      </c>
      <c r="D532" s="2">
        <v>8.6199999999999999E-2</v>
      </c>
      <c r="E532" s="2">
        <v>0.13400000000000001</v>
      </c>
      <c r="F532" s="2">
        <v>0.214</v>
      </c>
      <c r="G532" s="2">
        <v>0.39800000000000002</v>
      </c>
      <c r="H532" s="2">
        <v>0.16700000000000001</v>
      </c>
      <c r="I532" s="2">
        <v>0.14299999999999999</v>
      </c>
      <c r="J532" s="2">
        <v>0.17699999999999999</v>
      </c>
      <c r="K532" s="2">
        <v>0.105</v>
      </c>
      <c r="L532" s="2">
        <v>0.11</v>
      </c>
      <c r="M532" s="2">
        <v>0.13100000000000001</v>
      </c>
      <c r="N532" s="2">
        <v>7.6899999999999996E-2</v>
      </c>
      <c r="O532" s="2">
        <v>7.5999999999999998E-2</v>
      </c>
      <c r="P532" s="2">
        <v>0.161</v>
      </c>
      <c r="Q532" s="2">
        <v>9.9599999999999994E-2</v>
      </c>
      <c r="R532" s="2">
        <v>0.27100000000000002</v>
      </c>
      <c r="S532" s="2">
        <v>0.1</v>
      </c>
      <c r="T532" s="2">
        <v>0.50800000000000001</v>
      </c>
      <c r="U532" s="2">
        <v>0.247</v>
      </c>
      <c r="V532" s="2">
        <v>0.17199999999999999</v>
      </c>
      <c r="W532" s="2">
        <v>0.14199999999999999</v>
      </c>
      <c r="X532" s="2">
        <v>0.104</v>
      </c>
      <c r="Y532" s="2">
        <v>0.13200000000000001</v>
      </c>
      <c r="Z532" s="2">
        <v>0.126</v>
      </c>
      <c r="AA532" s="5"/>
      <c r="AB532" s="5"/>
      <c r="AC532" s="5"/>
      <c r="AD532" s="5"/>
      <c r="AE532" s="5"/>
      <c r="AF532" s="5"/>
      <c r="AG532" s="5"/>
      <c r="AH532" s="5"/>
      <c r="AI532" s="2">
        <v>0.186</v>
      </c>
      <c r="AJ532" s="2">
        <v>0.13800000000000001</v>
      </c>
      <c r="AK532" s="2">
        <v>0.122</v>
      </c>
      <c r="AL532" s="5"/>
      <c r="AM532" s="5"/>
      <c r="AN532" s="2">
        <v>0.14899999999999999</v>
      </c>
      <c r="AO532" s="2">
        <v>3.3700000000000001E-2</v>
      </c>
      <c r="AP532" s="79">
        <v>22.7</v>
      </c>
    </row>
    <row r="533" spans="1:42">
      <c r="A533" s="9" t="s">
        <v>291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4">
        <v>6.4899999999999999E-2</v>
      </c>
      <c r="AC533" s="4">
        <v>6.4899999999999999E-2</v>
      </c>
      <c r="AD533" s="4">
        <v>6.4899999999999999E-2</v>
      </c>
      <c r="AE533" s="4">
        <v>6.4899999999999999E-2</v>
      </c>
      <c r="AF533" s="3"/>
      <c r="AG533" s="3"/>
      <c r="AH533" s="3"/>
      <c r="AI533" s="3"/>
      <c r="AJ533" s="3"/>
      <c r="AK533" s="3"/>
      <c r="AL533" s="4">
        <v>6.4899999999999999E-2</v>
      </c>
      <c r="AM533" s="3"/>
      <c r="AN533" s="4">
        <v>6.4899999999999999E-2</v>
      </c>
      <c r="AO533" s="3"/>
      <c r="AP533" s="78">
        <v>0</v>
      </c>
    </row>
    <row r="534" spans="1:42">
      <c r="A534" s="9" t="s">
        <v>292</v>
      </c>
      <c r="B534" s="2">
        <v>0.19600000000000001</v>
      </c>
      <c r="C534" s="2">
        <v>8.9099999999999999E-2</v>
      </c>
      <c r="D534" s="2">
        <v>0.108</v>
      </c>
      <c r="E534" s="2">
        <v>0.27100000000000002</v>
      </c>
      <c r="F534" s="2">
        <v>0.218</v>
      </c>
      <c r="G534" s="2">
        <v>0.161</v>
      </c>
      <c r="H534" s="2">
        <v>0.155</v>
      </c>
      <c r="I534" s="2">
        <v>0.123</v>
      </c>
      <c r="J534" s="2">
        <v>0.13400000000000001</v>
      </c>
      <c r="K534" s="2">
        <v>0.13600000000000001</v>
      </c>
      <c r="L534" s="2">
        <v>0.123</v>
      </c>
      <c r="M534" s="2">
        <v>0.35399999999999998</v>
      </c>
      <c r="N534" s="2">
        <v>0.13300000000000001</v>
      </c>
      <c r="O534" s="2">
        <v>0.14399999999999999</v>
      </c>
      <c r="P534" s="2">
        <v>0.28899999999999998</v>
      </c>
      <c r="Q534" s="2">
        <v>0.32400000000000001</v>
      </c>
      <c r="R534" s="2">
        <v>0.14799999999999999</v>
      </c>
      <c r="S534" s="2">
        <v>0.123</v>
      </c>
      <c r="T534" s="2">
        <v>0.12</v>
      </c>
      <c r="U534" s="2">
        <v>0.504</v>
      </c>
      <c r="V534" s="2">
        <v>0.14599999999999999</v>
      </c>
      <c r="W534" s="2">
        <v>9.5699999999999993E-2</v>
      </c>
      <c r="X534" s="2">
        <v>9.3899999999999997E-2</v>
      </c>
      <c r="Y534" s="2">
        <v>0.108</v>
      </c>
      <c r="Z534" s="2">
        <v>0.11</v>
      </c>
      <c r="AA534" s="5"/>
      <c r="AB534" s="2">
        <v>0.10299999999999999</v>
      </c>
      <c r="AC534" s="2">
        <v>0.115</v>
      </c>
      <c r="AD534" s="2">
        <v>0.22800000000000001</v>
      </c>
      <c r="AE534" s="2">
        <v>0.32500000000000001</v>
      </c>
      <c r="AF534" s="5"/>
      <c r="AG534" s="5"/>
      <c r="AH534" s="2">
        <v>0.124</v>
      </c>
      <c r="AI534" s="2">
        <v>0.45500000000000002</v>
      </c>
      <c r="AJ534" s="2">
        <v>0.129</v>
      </c>
      <c r="AK534" s="2">
        <v>0.153</v>
      </c>
      <c r="AL534" s="2">
        <v>7.46E-2</v>
      </c>
      <c r="AM534" s="5"/>
      <c r="AN534" s="2">
        <v>0.187</v>
      </c>
      <c r="AO534" s="2">
        <v>0.152</v>
      </c>
      <c r="AP534" s="79">
        <v>81.5</v>
      </c>
    </row>
    <row r="535" spans="1:42">
      <c r="A535" s="9" t="s">
        <v>293</v>
      </c>
      <c r="B535" s="4">
        <v>8.2100000000000003E-3</v>
      </c>
      <c r="C535" s="4">
        <v>7.7400000000000004E-3</v>
      </c>
      <c r="D535" s="4">
        <v>9.0500000000000008E-3</v>
      </c>
      <c r="E535" s="4">
        <v>1.9300000000000001E-3</v>
      </c>
      <c r="F535" s="4">
        <v>3.5400000000000002E-3</v>
      </c>
      <c r="G535" s="4">
        <v>2.2399999999999998E-3</v>
      </c>
      <c r="H535" s="4">
        <v>9.2099999999999994E-3</v>
      </c>
      <c r="I535" s="4">
        <v>8.3000000000000001E-3</v>
      </c>
      <c r="J535" s="4">
        <v>1.09E-2</v>
      </c>
      <c r="K535" s="4">
        <v>7.2300000000000003E-3</v>
      </c>
      <c r="L535" s="4">
        <v>1.11E-2</v>
      </c>
      <c r="M535" s="4">
        <v>7.9900000000000006E-3</v>
      </c>
      <c r="N535" s="4">
        <v>4.8999999999999998E-3</v>
      </c>
      <c r="O535" s="3"/>
      <c r="P535" s="4">
        <v>4.4600000000000004E-3</v>
      </c>
      <c r="Q535" s="4">
        <v>3.9500000000000004E-3</v>
      </c>
      <c r="R535" s="4">
        <v>3.5400000000000002E-3</v>
      </c>
      <c r="S535" s="4">
        <v>8.3999999999999995E-3</v>
      </c>
      <c r="T535" s="4">
        <v>1.2999999999999999E-2</v>
      </c>
      <c r="U535" s="4">
        <v>5.7499999999999999E-3</v>
      </c>
      <c r="V535" s="4">
        <v>9.2399999999999999E-3</v>
      </c>
      <c r="W535" s="4">
        <v>7.7099999999999998E-3</v>
      </c>
      <c r="X535" s="4">
        <v>6.43E-3</v>
      </c>
      <c r="Y535" s="4">
        <v>7.7499999999999999E-3</v>
      </c>
      <c r="Z535" s="4">
        <v>7.5300000000000002E-3</v>
      </c>
      <c r="AA535" s="3"/>
      <c r="AB535" s="4">
        <v>1.65E-3</v>
      </c>
      <c r="AC535" s="4">
        <v>4.0299999999999997E-3</v>
      </c>
      <c r="AD535" s="4">
        <v>5.8100000000000001E-3</v>
      </c>
      <c r="AE535" s="4">
        <v>1.9199999999999998E-2</v>
      </c>
      <c r="AF535" s="3"/>
      <c r="AG535" s="3"/>
      <c r="AH535" s="4">
        <v>5.5900000000000004E-3</v>
      </c>
      <c r="AI535" s="4">
        <v>7.8499999999999993E-3</v>
      </c>
      <c r="AJ535" s="4">
        <v>8.5000000000000006E-3</v>
      </c>
      <c r="AK535" s="4">
        <v>5.5199999999999997E-3</v>
      </c>
      <c r="AL535" s="4">
        <v>2.2300000000000002E-3</v>
      </c>
      <c r="AM535" s="3"/>
      <c r="AN535" s="4">
        <v>5.94E-3</v>
      </c>
      <c r="AO535" s="4">
        <v>2.4599999999999999E-3</v>
      </c>
      <c r="AP535" s="78">
        <v>41.5</v>
      </c>
    </row>
    <row r="536" spans="1:42">
      <c r="A536" s="9" t="s">
        <v>294</v>
      </c>
      <c r="B536" s="5"/>
      <c r="C536" s="2">
        <v>1.17E-2</v>
      </c>
      <c r="D536" s="2">
        <v>1.4500000000000001E-2</v>
      </c>
      <c r="E536" s="5"/>
      <c r="F536" s="2">
        <v>1.6199999999999999E-2</v>
      </c>
      <c r="G536" s="5"/>
      <c r="H536" s="2">
        <v>1.66E-2</v>
      </c>
      <c r="I536" s="2">
        <v>1.26E-2</v>
      </c>
      <c r="J536" s="2">
        <v>1.1599999999999999E-2</v>
      </c>
      <c r="K536" s="2">
        <v>3.7299999999999998E-3</v>
      </c>
      <c r="L536" s="2">
        <v>1.03E-2</v>
      </c>
      <c r="M536" s="5"/>
      <c r="N536" s="5"/>
      <c r="O536" s="5"/>
      <c r="P536" s="5"/>
      <c r="Q536" s="5"/>
      <c r="R536" s="5"/>
      <c r="S536" s="2">
        <v>1.5100000000000001E-2</v>
      </c>
      <c r="T536" s="5"/>
      <c r="U536" s="2">
        <v>9.7800000000000005E-3</v>
      </c>
      <c r="V536" s="2">
        <v>1.0200000000000001E-2</v>
      </c>
      <c r="W536" s="2">
        <v>6.1999999999999998E-3</v>
      </c>
      <c r="X536" s="2">
        <v>7.77E-3</v>
      </c>
      <c r="Y536" s="2">
        <v>1.38E-2</v>
      </c>
      <c r="Z536" s="2">
        <v>7.6600000000000001E-3</v>
      </c>
      <c r="AA536" s="5"/>
      <c r="AB536" s="2">
        <v>5.1500000000000001E-3</v>
      </c>
      <c r="AC536" s="2">
        <v>2.8900000000000002E-3</v>
      </c>
      <c r="AD536" s="2">
        <v>5.0299999999999997E-3</v>
      </c>
      <c r="AE536" s="2">
        <v>3.0800000000000001E-2</v>
      </c>
      <c r="AF536" s="5"/>
      <c r="AG536" s="5"/>
      <c r="AH536" s="2">
        <v>1.2200000000000001E-2</v>
      </c>
      <c r="AI536" s="5"/>
      <c r="AJ536" s="2">
        <v>1.4500000000000001E-2</v>
      </c>
      <c r="AK536" s="2">
        <v>4.7400000000000003E-3</v>
      </c>
      <c r="AL536" s="2">
        <v>1.15E-3</v>
      </c>
      <c r="AM536" s="5"/>
      <c r="AN536" s="2">
        <v>8.1499999999999993E-3</v>
      </c>
      <c r="AO536" s="2">
        <v>6.2599999999999999E-3</v>
      </c>
      <c r="AP536" s="79">
        <v>76.8</v>
      </c>
    </row>
    <row r="537" spans="1:42">
      <c r="A537" s="9" t="s">
        <v>295</v>
      </c>
      <c r="B537" s="3"/>
      <c r="C537" s="3"/>
      <c r="D537" s="3"/>
      <c r="E537" s="4">
        <v>1.43E-2</v>
      </c>
      <c r="F537" s="4">
        <v>1.43E-2</v>
      </c>
      <c r="G537" s="4">
        <v>1.7500000000000002E-2</v>
      </c>
      <c r="H537" s="3"/>
      <c r="I537" s="4">
        <v>5.2900000000000003E-2</v>
      </c>
      <c r="J537" s="3"/>
      <c r="K537" s="4">
        <v>3.1099999999999999E-2</v>
      </c>
      <c r="L537" s="3"/>
      <c r="M537" s="3"/>
      <c r="N537" s="3"/>
      <c r="O537" s="3"/>
      <c r="P537" s="3"/>
      <c r="Q537" s="3"/>
      <c r="R537" s="4">
        <v>1.8700000000000001E-2</v>
      </c>
      <c r="S537" s="3"/>
      <c r="T537" s="3"/>
      <c r="U537" s="3"/>
      <c r="V537" s="3"/>
      <c r="W537" s="3"/>
      <c r="X537" s="3"/>
      <c r="Y537" s="3"/>
      <c r="Z537" s="3"/>
      <c r="AA537" s="3"/>
      <c r="AB537" s="4">
        <v>3.0700000000000002E-2</v>
      </c>
      <c r="AC537" s="4">
        <v>1.9099999999999999E-2</v>
      </c>
      <c r="AD537" s="4">
        <v>2.46E-2</v>
      </c>
      <c r="AE537" s="3"/>
      <c r="AF537" s="3"/>
      <c r="AG537" s="3"/>
      <c r="AH537" s="3"/>
      <c r="AI537" s="3"/>
      <c r="AJ537" s="3"/>
      <c r="AK537" s="4">
        <v>2.7E-2</v>
      </c>
      <c r="AL537" s="4">
        <v>1.7000000000000001E-2</v>
      </c>
      <c r="AM537" s="3"/>
      <c r="AN537" s="4">
        <v>2.1999999999999999E-2</v>
      </c>
      <c r="AO537" s="4">
        <v>7.0899999999999999E-3</v>
      </c>
      <c r="AP537" s="78">
        <v>32.200000000000003</v>
      </c>
    </row>
    <row r="538" spans="1:42">
      <c r="A538" s="9" t="s">
        <v>296</v>
      </c>
      <c r="B538" s="2">
        <v>0.55100000000000005</v>
      </c>
      <c r="C538" s="2">
        <v>0.61199999999999999</v>
      </c>
      <c r="D538" s="2">
        <v>0.70899999999999996</v>
      </c>
      <c r="E538" s="2">
        <v>0.41799999999999998</v>
      </c>
      <c r="F538" s="2">
        <v>0.998</v>
      </c>
      <c r="G538" s="2">
        <v>0.51200000000000001</v>
      </c>
      <c r="H538" s="2">
        <v>1.06</v>
      </c>
      <c r="I538" s="2">
        <v>0.71599999999999997</v>
      </c>
      <c r="J538" s="2">
        <v>0.76200000000000001</v>
      </c>
      <c r="K538" s="2">
        <v>0.38</v>
      </c>
      <c r="L538" s="2">
        <v>0.54300000000000004</v>
      </c>
      <c r="M538" s="2">
        <v>0.65200000000000002</v>
      </c>
      <c r="N538" s="2">
        <v>0.36699999999999999</v>
      </c>
      <c r="O538" s="2">
        <v>0.33400000000000002</v>
      </c>
      <c r="P538" s="2">
        <v>0.74099999999999999</v>
      </c>
      <c r="Q538" s="2">
        <v>0.39200000000000002</v>
      </c>
      <c r="R538" s="2">
        <v>0.40100000000000002</v>
      </c>
      <c r="S538" s="2">
        <v>0.64100000000000001</v>
      </c>
      <c r="T538" s="2">
        <v>0.22</v>
      </c>
      <c r="U538" s="2">
        <v>0.51800000000000002</v>
      </c>
      <c r="V538" s="2">
        <v>0.78400000000000003</v>
      </c>
      <c r="W538" s="2">
        <v>0.39300000000000002</v>
      </c>
      <c r="X538" s="2">
        <v>0.52100000000000002</v>
      </c>
      <c r="Y538" s="2">
        <v>0.67</v>
      </c>
      <c r="Z538" s="2">
        <v>0.67400000000000004</v>
      </c>
      <c r="AA538" s="5"/>
      <c r="AB538" s="2">
        <v>0.53500000000000003</v>
      </c>
      <c r="AC538" s="2">
        <v>0.432</v>
      </c>
      <c r="AD538" s="2">
        <v>0.65300000000000002</v>
      </c>
      <c r="AE538" s="2">
        <v>1.46</v>
      </c>
      <c r="AF538" s="5"/>
      <c r="AG538" s="5"/>
      <c r="AH538" s="2">
        <v>0.65300000000000002</v>
      </c>
      <c r="AI538" s="2">
        <v>0.70399999999999996</v>
      </c>
      <c r="AJ538" s="2">
        <v>0.7</v>
      </c>
      <c r="AK538" s="2">
        <v>0.54300000000000004</v>
      </c>
      <c r="AL538" s="2">
        <v>0.253</v>
      </c>
      <c r="AM538" s="5"/>
      <c r="AN538" s="2">
        <v>0.57099999999999995</v>
      </c>
      <c r="AO538" s="2">
        <v>0.189</v>
      </c>
      <c r="AP538" s="79">
        <v>33.1</v>
      </c>
    </row>
    <row r="539" spans="1:42">
      <c r="A539" s="9" t="s">
        <v>297</v>
      </c>
      <c r="B539" s="4">
        <v>8.2699999999999996E-2</v>
      </c>
      <c r="C539" s="4">
        <v>9.64E-2</v>
      </c>
      <c r="D539" s="4">
        <v>0.11700000000000001</v>
      </c>
      <c r="E539" s="4">
        <v>6.6400000000000001E-2</v>
      </c>
      <c r="F539" s="4">
        <v>0.17599999999999999</v>
      </c>
      <c r="G539" s="4">
        <v>9.9400000000000002E-2</v>
      </c>
      <c r="H539" s="4">
        <v>0.158</v>
      </c>
      <c r="I539" s="4">
        <v>0.104</v>
      </c>
      <c r="J539" s="4">
        <v>0.128</v>
      </c>
      <c r="K539" s="4">
        <v>6.6699999999999995E-2</v>
      </c>
      <c r="L539" s="4">
        <v>8.6900000000000005E-2</v>
      </c>
      <c r="M539" s="4">
        <v>0.11700000000000001</v>
      </c>
      <c r="N539" s="4">
        <v>5.8700000000000002E-2</v>
      </c>
      <c r="O539" s="4">
        <v>5.6399999999999999E-2</v>
      </c>
      <c r="P539" s="4">
        <v>0.127</v>
      </c>
      <c r="Q539" s="4">
        <v>6.3100000000000003E-2</v>
      </c>
      <c r="R539" s="4">
        <v>6.9599999999999995E-2</v>
      </c>
      <c r="S539" s="4">
        <v>9.8299999999999998E-2</v>
      </c>
      <c r="T539" s="4">
        <v>5.1400000000000001E-2</v>
      </c>
      <c r="U539" s="4">
        <v>8.2799999999999999E-2</v>
      </c>
      <c r="V539" s="4">
        <v>0.121</v>
      </c>
      <c r="W539" s="4">
        <v>6.4000000000000001E-2</v>
      </c>
      <c r="X539" s="4">
        <v>7.1800000000000003E-2</v>
      </c>
      <c r="Y539" s="4">
        <v>9.7199999999999995E-2</v>
      </c>
      <c r="Z539" s="4">
        <v>8.3599999999999994E-2</v>
      </c>
      <c r="AA539" s="3"/>
      <c r="AB539" s="4">
        <v>9.8100000000000007E-2</v>
      </c>
      <c r="AC539" s="4">
        <v>7.6799999999999993E-2</v>
      </c>
      <c r="AD539" s="4">
        <v>0.121</v>
      </c>
      <c r="AE539" s="4">
        <v>0.32500000000000001</v>
      </c>
      <c r="AF539" s="3"/>
      <c r="AG539" s="3"/>
      <c r="AH539" s="4">
        <v>0.13300000000000001</v>
      </c>
      <c r="AI539" s="4">
        <v>0.11600000000000001</v>
      </c>
      <c r="AJ539" s="4">
        <v>0.113</v>
      </c>
      <c r="AK539" s="4">
        <v>8.4699999999999998E-2</v>
      </c>
      <c r="AL539" s="4">
        <v>4.7699999999999999E-2</v>
      </c>
      <c r="AM539" s="3"/>
      <c r="AN539" s="4">
        <v>9.8900000000000002E-2</v>
      </c>
      <c r="AO539" s="4">
        <v>3.3399999999999999E-2</v>
      </c>
      <c r="AP539" s="78">
        <v>33.799999999999997</v>
      </c>
    </row>
    <row r="540" spans="1:42">
      <c r="A540" s="9" t="s">
        <v>298</v>
      </c>
      <c r="B540" s="2">
        <v>4.2000000000000003E-2</v>
      </c>
      <c r="C540" s="2">
        <v>5.9400000000000001E-2</v>
      </c>
      <c r="D540" s="2">
        <v>6.2600000000000003E-2</v>
      </c>
      <c r="E540" s="2">
        <v>5.5399999999999998E-2</v>
      </c>
      <c r="F540" s="2">
        <v>0.15</v>
      </c>
      <c r="G540" s="2">
        <v>6.8199999999999997E-2</v>
      </c>
      <c r="H540" s="2">
        <v>9.8799999999999999E-2</v>
      </c>
      <c r="I540" s="2">
        <v>7.3400000000000007E-2</v>
      </c>
      <c r="J540" s="2">
        <v>7.0499999999999993E-2</v>
      </c>
      <c r="K540" s="2">
        <v>3.6900000000000002E-2</v>
      </c>
      <c r="L540" s="2">
        <v>5.3400000000000003E-2</v>
      </c>
      <c r="M540" s="2">
        <v>4.6699999999999998E-2</v>
      </c>
      <c r="N540" s="2">
        <v>5.57E-2</v>
      </c>
      <c r="O540" s="2">
        <v>3.7199999999999997E-2</v>
      </c>
      <c r="P540" s="2">
        <v>6.9500000000000006E-2</v>
      </c>
      <c r="Q540" s="2">
        <v>4.5900000000000003E-2</v>
      </c>
      <c r="R540" s="2">
        <v>4.2700000000000002E-2</v>
      </c>
      <c r="S540" s="2">
        <v>7.6100000000000001E-2</v>
      </c>
      <c r="T540" s="2">
        <v>2.01E-2</v>
      </c>
      <c r="U540" s="2">
        <v>5.8999999999999997E-2</v>
      </c>
      <c r="V540" s="2">
        <v>6.4199999999999993E-2</v>
      </c>
      <c r="W540" s="2">
        <v>2.9700000000000001E-2</v>
      </c>
      <c r="X540" s="2">
        <v>3.8899999999999997E-2</v>
      </c>
      <c r="Y540" s="2">
        <v>5.1799999999999999E-2</v>
      </c>
      <c r="Z540" s="2">
        <v>5.11E-2</v>
      </c>
      <c r="AA540" s="5"/>
      <c r="AB540" s="2">
        <v>5.91E-2</v>
      </c>
      <c r="AC540" s="2">
        <v>5.0799999999999998E-2</v>
      </c>
      <c r="AD540" s="2">
        <v>6.2E-2</v>
      </c>
      <c r="AE540" s="2">
        <v>0.23300000000000001</v>
      </c>
      <c r="AF540" s="5"/>
      <c r="AG540" s="5"/>
      <c r="AH540" s="2">
        <v>7.22E-2</v>
      </c>
      <c r="AI540" s="2">
        <v>7.9100000000000004E-2</v>
      </c>
      <c r="AJ540" s="2">
        <v>7.0199999999999999E-2</v>
      </c>
      <c r="AK540" s="2">
        <v>5.5899999999999998E-2</v>
      </c>
      <c r="AL540" s="2">
        <v>3.2300000000000002E-2</v>
      </c>
      <c r="AM540" s="5"/>
      <c r="AN540" s="2">
        <v>6.1899999999999997E-2</v>
      </c>
      <c r="AO540" s="2">
        <v>1.8599999999999998E-2</v>
      </c>
      <c r="AP540" s="79">
        <v>30</v>
      </c>
    </row>
    <row r="541" spans="1:42">
      <c r="A541" s="9" t="s">
        <v>758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4">
        <v>0</v>
      </c>
      <c r="AP541" s="68"/>
    </row>
    <row r="542" spans="1:42">
      <c r="A542" s="9" t="s">
        <v>299</v>
      </c>
      <c r="B542" s="5"/>
      <c r="C542" s="2">
        <v>7.6700000000000004E-2</v>
      </c>
      <c r="D542" s="5"/>
      <c r="E542" s="5"/>
      <c r="F542" s="5"/>
      <c r="G542" s="5"/>
      <c r="H542" s="2">
        <v>0.13500000000000001</v>
      </c>
      <c r="I542" s="2">
        <v>7.4300000000000005E-2</v>
      </c>
      <c r="J542" s="2">
        <v>0.109</v>
      </c>
      <c r="K542" s="5"/>
      <c r="L542" s="2">
        <v>7.0099999999999996E-2</v>
      </c>
      <c r="M542" s="5"/>
      <c r="N542" s="5"/>
      <c r="O542" s="5"/>
      <c r="P542" s="5"/>
      <c r="Q542" s="5"/>
      <c r="R542" s="5"/>
      <c r="S542" s="5"/>
      <c r="T542" s="2">
        <v>6.4100000000000004E-2</v>
      </c>
      <c r="U542" s="2">
        <v>9.7100000000000006E-2</v>
      </c>
      <c r="V542" s="2">
        <v>0.11799999999999999</v>
      </c>
      <c r="W542" s="5"/>
      <c r="X542" s="5"/>
      <c r="Y542" s="5"/>
      <c r="Z542" s="5"/>
      <c r="AA542" s="5"/>
      <c r="AB542" s="2">
        <v>0.36199999999999999</v>
      </c>
      <c r="AC542" s="2">
        <v>6.3600000000000004E-2</v>
      </c>
      <c r="AD542" s="5"/>
      <c r="AE542" s="5"/>
      <c r="AF542" s="5"/>
      <c r="AG542" s="5"/>
      <c r="AH542" s="5"/>
      <c r="AI542" s="5"/>
      <c r="AJ542" s="2">
        <v>0.26700000000000002</v>
      </c>
      <c r="AK542" s="5"/>
      <c r="AL542" s="5"/>
      <c r="AM542" s="5"/>
      <c r="AN542" s="2">
        <v>0.26700000000000002</v>
      </c>
      <c r="AO542" s="5"/>
      <c r="AP542" s="79">
        <v>0</v>
      </c>
    </row>
    <row r="543" spans="1:42">
      <c r="A543" s="9" t="s">
        <v>300</v>
      </c>
      <c r="B543" s="4">
        <v>0.23699999999999999</v>
      </c>
      <c r="C543" s="4">
        <v>4.9700000000000001E-2</v>
      </c>
      <c r="D543" s="4">
        <v>1.2E-2</v>
      </c>
      <c r="E543" s="4">
        <v>5.9900000000000002E-2</v>
      </c>
      <c r="F543" s="4">
        <v>3.3399999999999999E-2</v>
      </c>
      <c r="G543" s="4">
        <v>8.8200000000000001E-2</v>
      </c>
      <c r="H543" s="4">
        <v>6.6400000000000001E-2</v>
      </c>
      <c r="I543" s="4">
        <v>0.23</v>
      </c>
      <c r="J543" s="4">
        <v>8.43E-3</v>
      </c>
      <c r="K543" s="4">
        <v>0.14899999999999999</v>
      </c>
      <c r="L543" s="4">
        <v>6.0200000000000002E-3</v>
      </c>
      <c r="M543" s="4">
        <v>0.83699999999999997</v>
      </c>
      <c r="N543" s="4">
        <v>0.13200000000000001</v>
      </c>
      <c r="O543" s="4">
        <v>0.14899999999999999</v>
      </c>
      <c r="P543" s="4">
        <v>0.59399999999999997</v>
      </c>
      <c r="Q543" s="3"/>
      <c r="R543" s="4">
        <v>1.61E-2</v>
      </c>
      <c r="S543" s="4">
        <v>0.41</v>
      </c>
      <c r="T543" s="4">
        <v>0.254</v>
      </c>
      <c r="U543" s="4">
        <v>0.36299999999999999</v>
      </c>
      <c r="V543" s="4">
        <v>0.58499999999999996</v>
      </c>
      <c r="W543" s="4">
        <v>0.245</v>
      </c>
      <c r="X543" s="4">
        <v>0.23499999999999999</v>
      </c>
      <c r="Y543" s="4">
        <v>0.55000000000000004</v>
      </c>
      <c r="Z543" s="4">
        <v>0.46300000000000002</v>
      </c>
      <c r="AA543" s="3"/>
      <c r="AB543" s="4">
        <v>7.2999999999999995E-2</v>
      </c>
      <c r="AC543" s="4">
        <v>3.1600000000000003E-2</v>
      </c>
      <c r="AD543" s="4">
        <v>1.5599999999999999E-2</v>
      </c>
      <c r="AE543" s="4">
        <v>6.8500000000000005E-2</v>
      </c>
      <c r="AF543" s="3"/>
      <c r="AG543" s="3"/>
      <c r="AH543" s="4">
        <v>0.23400000000000001</v>
      </c>
      <c r="AI543" s="4">
        <v>0.93400000000000005</v>
      </c>
      <c r="AJ543" s="4">
        <v>1.2200000000000001E-2</v>
      </c>
      <c r="AK543" s="4">
        <v>8.9300000000000004E-2</v>
      </c>
      <c r="AL543" s="4">
        <v>5.5399999999999998E-2</v>
      </c>
      <c r="AM543" s="3"/>
      <c r="AN543" s="4">
        <v>0.26500000000000001</v>
      </c>
      <c r="AO543" s="4">
        <v>0.38300000000000001</v>
      </c>
      <c r="AP543" s="78">
        <v>145</v>
      </c>
    </row>
    <row r="544" spans="1:42">
      <c r="A544" s="9" t="s">
        <v>301</v>
      </c>
      <c r="B544" s="2">
        <v>2.2599999999999999E-2</v>
      </c>
      <c r="C544" s="2">
        <v>2.3E-2</v>
      </c>
      <c r="D544" s="2">
        <v>2.4799999999999999E-2</v>
      </c>
      <c r="E544" s="2">
        <v>1.5800000000000002E-2</v>
      </c>
      <c r="F544" s="2">
        <v>4.99E-2</v>
      </c>
      <c r="G544" s="2">
        <v>2.9899999999999999E-2</v>
      </c>
      <c r="H544" s="2">
        <v>4.48E-2</v>
      </c>
      <c r="I544" s="2">
        <v>3.7400000000000003E-2</v>
      </c>
      <c r="J544" s="2">
        <v>4.2999999999999997E-2</v>
      </c>
      <c r="K544" s="2">
        <v>2.4299999999999999E-2</v>
      </c>
      <c r="L544" s="2">
        <v>2.9899999999999999E-2</v>
      </c>
      <c r="M544" s="2">
        <v>2.1000000000000001E-2</v>
      </c>
      <c r="N544" s="2">
        <v>1.18E-2</v>
      </c>
      <c r="O544" s="2">
        <v>1.21E-2</v>
      </c>
      <c r="P544" s="2">
        <v>3.04E-2</v>
      </c>
      <c r="Q544" s="2">
        <v>2.1100000000000001E-2</v>
      </c>
      <c r="R544" s="2">
        <v>1.7999999999999999E-2</v>
      </c>
      <c r="S544" s="2">
        <v>2.9600000000000001E-2</v>
      </c>
      <c r="T544" s="2">
        <v>1.5699999999999999E-2</v>
      </c>
      <c r="U544" s="2">
        <v>4.82E-2</v>
      </c>
      <c r="V544" s="2">
        <v>4.4900000000000002E-2</v>
      </c>
      <c r="W544" s="2">
        <v>2.93E-2</v>
      </c>
      <c r="X544" s="2">
        <v>3.1099999999999999E-2</v>
      </c>
      <c r="Y544" s="2">
        <v>4.0599999999999997E-2</v>
      </c>
      <c r="Z544" s="2">
        <v>3.8600000000000002E-2</v>
      </c>
      <c r="AA544" s="5"/>
      <c r="AB544" s="2">
        <v>2.81E-2</v>
      </c>
      <c r="AC544" s="2">
        <v>2.6700000000000002E-2</v>
      </c>
      <c r="AD544" s="2">
        <v>4.3299999999999998E-2</v>
      </c>
      <c r="AE544" s="2">
        <v>8.9099999999999999E-2</v>
      </c>
      <c r="AF544" s="5"/>
      <c r="AG544" s="5"/>
      <c r="AH544" s="2">
        <v>3.73E-2</v>
      </c>
      <c r="AI544" s="2">
        <v>2.9000000000000001E-2</v>
      </c>
      <c r="AJ544" s="2">
        <v>3.5999999999999997E-2</v>
      </c>
      <c r="AK544" s="2">
        <v>2.9700000000000001E-2</v>
      </c>
      <c r="AL544" s="2">
        <v>1.29E-2</v>
      </c>
      <c r="AM544" s="5"/>
      <c r="AN544" s="2">
        <v>2.9000000000000001E-2</v>
      </c>
      <c r="AO544" s="2">
        <v>9.7300000000000008E-3</v>
      </c>
      <c r="AP544" s="79">
        <v>33.6</v>
      </c>
    </row>
    <row r="545" spans="1:42">
      <c r="A545" s="9" t="s">
        <v>302</v>
      </c>
      <c r="B545" s="4">
        <v>1.1100000000000001</v>
      </c>
      <c r="C545" s="4">
        <v>2.8400000000000002E-2</v>
      </c>
      <c r="D545" s="4">
        <v>4.0800000000000003E-2</v>
      </c>
      <c r="E545" s="4">
        <v>0.60599999999999998</v>
      </c>
      <c r="F545" s="4">
        <v>1.34</v>
      </c>
      <c r="G545" s="4">
        <v>0.68100000000000005</v>
      </c>
      <c r="H545" s="4">
        <v>6.4299999999999996E-2</v>
      </c>
      <c r="I545" s="4">
        <v>5.9299999999999999E-2</v>
      </c>
      <c r="J545" s="4">
        <v>6.7199999999999996E-2</v>
      </c>
      <c r="K545" s="4">
        <v>0.88400000000000001</v>
      </c>
      <c r="L545" s="4">
        <v>4.41E-2</v>
      </c>
      <c r="M545" s="4">
        <v>1.18</v>
      </c>
      <c r="N545" s="4">
        <v>0.42299999999999999</v>
      </c>
      <c r="O545" s="4">
        <v>0.67800000000000005</v>
      </c>
      <c r="P545" s="4">
        <v>1.43</v>
      </c>
      <c r="Q545" s="4">
        <v>0.52400000000000002</v>
      </c>
      <c r="R545" s="4">
        <v>0.371</v>
      </c>
      <c r="S545" s="4">
        <v>0.09</v>
      </c>
      <c r="T545" s="4">
        <v>3.0099999999999998E-2</v>
      </c>
      <c r="U545" s="4">
        <v>0.13800000000000001</v>
      </c>
      <c r="V545" s="4">
        <v>0.13500000000000001</v>
      </c>
      <c r="W545" s="4">
        <v>6.2100000000000002E-2</v>
      </c>
      <c r="X545" s="4">
        <v>0.11700000000000001</v>
      </c>
      <c r="Y545" s="4">
        <v>0.127</v>
      </c>
      <c r="Z545" s="4">
        <v>0.14000000000000001</v>
      </c>
      <c r="AA545" s="3"/>
      <c r="AB545" s="4">
        <v>0.434</v>
      </c>
      <c r="AC545" s="4">
        <v>0.34699999999999998</v>
      </c>
      <c r="AD545" s="4">
        <v>0.44400000000000001</v>
      </c>
      <c r="AE545" s="4">
        <v>0.11899999999999999</v>
      </c>
      <c r="AF545" s="3"/>
      <c r="AG545" s="3"/>
      <c r="AH545" s="4">
        <v>7.8E-2</v>
      </c>
      <c r="AI545" s="4">
        <v>1.54</v>
      </c>
      <c r="AJ545" s="4">
        <v>5.45E-2</v>
      </c>
      <c r="AK545" s="4">
        <v>0.98099999999999998</v>
      </c>
      <c r="AL545" s="4">
        <v>0.27300000000000002</v>
      </c>
      <c r="AM545" s="3"/>
      <c r="AN545" s="4">
        <v>0.58499999999999996</v>
      </c>
      <c r="AO545" s="4">
        <v>0.65200000000000002</v>
      </c>
      <c r="AP545" s="78">
        <v>112</v>
      </c>
    </row>
    <row r="546" spans="1:42">
      <c r="A546" s="9" t="s">
        <v>303</v>
      </c>
      <c r="B546" s="2">
        <v>0.24</v>
      </c>
      <c r="C546" s="2">
        <v>9.5000000000000001E-2</v>
      </c>
      <c r="D546" s="2">
        <v>7.4399999999999994E-2</v>
      </c>
      <c r="E546" s="2">
        <v>0.14299999999999999</v>
      </c>
      <c r="F546" s="2">
        <v>0.34</v>
      </c>
      <c r="G546" s="2">
        <v>0.24</v>
      </c>
      <c r="H546" s="2">
        <v>0.17899999999999999</v>
      </c>
      <c r="I546" s="2">
        <v>0.17</v>
      </c>
      <c r="J546" s="2">
        <v>0.216</v>
      </c>
      <c r="K546" s="2">
        <v>0.20799999999999999</v>
      </c>
      <c r="L546" s="2">
        <v>0.10100000000000001</v>
      </c>
      <c r="M546" s="2">
        <v>0.249</v>
      </c>
      <c r="N546" s="2">
        <v>9.7900000000000001E-2</v>
      </c>
      <c r="O546" s="2">
        <v>0.14399999999999999</v>
      </c>
      <c r="P546" s="2">
        <v>0.34100000000000003</v>
      </c>
      <c r="Q546" s="2">
        <v>0.18099999999999999</v>
      </c>
      <c r="R546" s="2">
        <v>0.13500000000000001</v>
      </c>
      <c r="S546" s="2">
        <v>0.122</v>
      </c>
      <c r="T546" s="2">
        <v>9.8400000000000001E-2</v>
      </c>
      <c r="U546" s="2">
        <v>0.20100000000000001</v>
      </c>
      <c r="V546" s="2">
        <v>0.16300000000000001</v>
      </c>
      <c r="W546" s="2">
        <v>0.13</v>
      </c>
      <c r="X546" s="2">
        <v>9.1499999999999998E-2</v>
      </c>
      <c r="Y546" s="2">
        <v>0.13800000000000001</v>
      </c>
      <c r="Z546" s="2">
        <v>0.13300000000000001</v>
      </c>
      <c r="AA546" s="5"/>
      <c r="AB546" s="2">
        <v>0.16300000000000001</v>
      </c>
      <c r="AC546" s="2">
        <v>0.13400000000000001</v>
      </c>
      <c r="AD546" s="2">
        <v>0.21099999999999999</v>
      </c>
      <c r="AE546" s="2">
        <v>0.20799999999999999</v>
      </c>
      <c r="AF546" s="5"/>
      <c r="AG546" s="5"/>
      <c r="AH546" s="2">
        <v>0.115</v>
      </c>
      <c r="AI546" s="2">
        <v>0.34</v>
      </c>
      <c r="AJ546" s="2">
        <v>0.14399999999999999</v>
      </c>
      <c r="AK546" s="2">
        <v>0.25</v>
      </c>
      <c r="AL546" s="2">
        <v>8.72E-2</v>
      </c>
      <c r="AM546" s="5"/>
      <c r="AN546" s="2">
        <v>0.187</v>
      </c>
      <c r="AO546" s="2">
        <v>0.105</v>
      </c>
      <c r="AP546" s="79">
        <v>56.3</v>
      </c>
    </row>
    <row r="547" spans="1:42">
      <c r="A547" s="9" t="s">
        <v>304</v>
      </c>
      <c r="B547" s="4">
        <v>1.69</v>
      </c>
      <c r="C547" s="4">
        <v>0.23</v>
      </c>
      <c r="D547" s="4">
        <v>0.224</v>
      </c>
      <c r="E547" s="4">
        <v>0.78700000000000003</v>
      </c>
      <c r="F547" s="4">
        <v>0.95299999999999996</v>
      </c>
      <c r="G547" s="4">
        <v>1.42</v>
      </c>
      <c r="H547" s="4">
        <v>0.51800000000000002</v>
      </c>
      <c r="I547" s="4">
        <v>0.497</v>
      </c>
      <c r="J547" s="4">
        <v>0.61499999999999999</v>
      </c>
      <c r="K547" s="4">
        <v>0.84399999999999997</v>
      </c>
      <c r="L547" s="4">
        <v>0.27700000000000002</v>
      </c>
      <c r="M547" s="4">
        <v>2.11</v>
      </c>
      <c r="N547" s="4">
        <v>0.77200000000000002</v>
      </c>
      <c r="O547" s="4">
        <v>1</v>
      </c>
      <c r="P547" s="4">
        <v>2.14</v>
      </c>
      <c r="Q547" s="4">
        <v>1.38</v>
      </c>
      <c r="R547" s="4">
        <v>0.98699999999999999</v>
      </c>
      <c r="S547" s="4">
        <v>0.41299999999999998</v>
      </c>
      <c r="T547" s="4">
        <v>0.26</v>
      </c>
      <c r="U547" s="4">
        <v>0.70299999999999996</v>
      </c>
      <c r="V547" s="4">
        <v>0.64400000000000002</v>
      </c>
      <c r="W547" s="4">
        <v>0.40600000000000003</v>
      </c>
      <c r="X547" s="4">
        <v>0.34399999999999997</v>
      </c>
      <c r="Y547" s="4">
        <v>0.54300000000000004</v>
      </c>
      <c r="Z547" s="4">
        <v>0.47599999999999998</v>
      </c>
      <c r="AA547" s="3"/>
      <c r="AB547" s="4">
        <v>0.70799999999999996</v>
      </c>
      <c r="AC547" s="4">
        <v>0.89400000000000002</v>
      </c>
      <c r="AD547" s="4">
        <v>1.51</v>
      </c>
      <c r="AE547" s="4">
        <v>0.51500000000000001</v>
      </c>
      <c r="AF547" s="3"/>
      <c r="AG547" s="3"/>
      <c r="AH547" s="4">
        <v>0.44400000000000001</v>
      </c>
      <c r="AI547" s="4">
        <v>2.4900000000000002</v>
      </c>
      <c r="AJ547" s="4">
        <v>0.38600000000000001</v>
      </c>
      <c r="AK547" s="4">
        <v>0.88700000000000001</v>
      </c>
      <c r="AL547" s="4">
        <v>0.56100000000000005</v>
      </c>
      <c r="AM547" s="3"/>
      <c r="AN547" s="4">
        <v>0.95299999999999996</v>
      </c>
      <c r="AO547" s="4">
        <v>0.88</v>
      </c>
      <c r="AP547" s="78">
        <v>92.3</v>
      </c>
    </row>
    <row r="548" spans="1:42">
      <c r="A548" s="9" t="s">
        <v>305</v>
      </c>
      <c r="B548" s="2">
        <v>0.185</v>
      </c>
      <c r="C548" s="2">
        <v>2.7900000000000001E-2</v>
      </c>
      <c r="D548" s="2">
        <v>2.87E-2</v>
      </c>
      <c r="E548" s="2">
        <v>0.56999999999999995</v>
      </c>
      <c r="F548" s="2">
        <v>1.1399999999999999</v>
      </c>
      <c r="G548" s="2">
        <v>6.9000000000000006E-2</v>
      </c>
      <c r="H548" s="2">
        <v>0.127</v>
      </c>
      <c r="I548" s="2">
        <v>0.16</v>
      </c>
      <c r="J548" s="2">
        <v>0.123</v>
      </c>
      <c r="K548" s="2">
        <v>0.16200000000000001</v>
      </c>
      <c r="L548" s="2">
        <v>8.3799999999999999E-2</v>
      </c>
      <c r="M548" s="2">
        <v>0.49299999999999999</v>
      </c>
      <c r="N548" s="2">
        <v>3.4799999999999998E-2</v>
      </c>
      <c r="O548" s="2">
        <v>6.2700000000000006E-2</v>
      </c>
      <c r="P548" s="2">
        <v>0.24199999999999999</v>
      </c>
      <c r="Q548" s="2">
        <v>7.0999999999999994E-2</v>
      </c>
      <c r="R548" s="2">
        <v>5.4300000000000001E-2</v>
      </c>
      <c r="S548" s="2">
        <v>0.54300000000000004</v>
      </c>
      <c r="T548" s="2">
        <v>0.245</v>
      </c>
      <c r="U548" s="2">
        <v>0.11899999999999999</v>
      </c>
      <c r="V548" s="2">
        <v>0.23200000000000001</v>
      </c>
      <c r="W548" s="2">
        <v>0.28899999999999998</v>
      </c>
      <c r="X548" s="2">
        <v>0.224</v>
      </c>
      <c r="Y548" s="2">
        <v>0.56100000000000005</v>
      </c>
      <c r="Z548" s="2">
        <v>0.371</v>
      </c>
      <c r="AA548" s="5"/>
      <c r="AB548" s="2">
        <v>0.247</v>
      </c>
      <c r="AC548" s="2">
        <v>6.4699999999999994E-2</v>
      </c>
      <c r="AD548" s="2">
        <v>0.153</v>
      </c>
      <c r="AE548" s="2">
        <v>0.38400000000000001</v>
      </c>
      <c r="AF548" s="5"/>
      <c r="AG548" s="5"/>
      <c r="AH548" s="2">
        <v>0.252</v>
      </c>
      <c r="AI548" s="2">
        <v>0.26300000000000001</v>
      </c>
      <c r="AJ548" s="2">
        <v>0.23</v>
      </c>
      <c r="AK548" s="2">
        <v>0.182</v>
      </c>
      <c r="AL548" s="2">
        <v>3.6400000000000002E-2</v>
      </c>
      <c r="AM548" s="5"/>
      <c r="AN548" s="2">
        <v>0.193</v>
      </c>
      <c r="AO548" s="2">
        <v>9.2799999999999994E-2</v>
      </c>
      <c r="AP548" s="79">
        <v>48.1</v>
      </c>
    </row>
    <row r="549" spans="1:42">
      <c r="A549" s="9" t="s">
        <v>306</v>
      </c>
      <c r="B549" s="3"/>
      <c r="C549" s="3"/>
      <c r="D549" s="3"/>
      <c r="E549" s="3"/>
      <c r="F549" s="3"/>
      <c r="G549" s="3"/>
      <c r="H549" s="4">
        <v>4.9699999999999996E-3</v>
      </c>
      <c r="I549" s="4">
        <v>8.3400000000000002E-3</v>
      </c>
      <c r="J549" s="4">
        <v>1.03E-2</v>
      </c>
      <c r="K549" s="3"/>
      <c r="L549" s="4">
        <v>6.5100000000000002E-3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4">
        <v>0</v>
      </c>
      <c r="AP549" s="68"/>
    </row>
    <row r="550" spans="1:42">
      <c r="A550" s="9" t="s">
        <v>307</v>
      </c>
      <c r="B550" s="5"/>
      <c r="C550" s="2">
        <v>3.6799999999999999E-2</v>
      </c>
      <c r="D550" s="2">
        <v>4.0099999999999997E-2</v>
      </c>
      <c r="E550" s="5"/>
      <c r="F550" s="2">
        <v>5.5500000000000001E-2</v>
      </c>
      <c r="G550" s="5"/>
      <c r="H550" s="2">
        <v>7.0999999999999994E-2</v>
      </c>
      <c r="I550" s="2">
        <v>6.5699999999999995E-2</v>
      </c>
      <c r="J550" s="2">
        <v>5.5599999999999997E-2</v>
      </c>
      <c r="K550" s="2">
        <v>1.72E-2</v>
      </c>
      <c r="L550" s="2">
        <v>5.1999999999999998E-2</v>
      </c>
      <c r="M550" s="5"/>
      <c r="N550" s="5"/>
      <c r="O550" s="5"/>
      <c r="P550" s="2">
        <v>7.4099999999999999E-3</v>
      </c>
      <c r="Q550" s="5"/>
      <c r="R550" s="5"/>
      <c r="S550" s="2">
        <v>5.91E-2</v>
      </c>
      <c r="T550" s="5"/>
      <c r="U550" s="2">
        <v>8.1699999999999995E-2</v>
      </c>
      <c r="V550" s="2">
        <v>7.0099999999999996E-2</v>
      </c>
      <c r="W550" s="2">
        <v>3.78E-2</v>
      </c>
      <c r="X550" s="2">
        <v>3.5999999999999997E-2</v>
      </c>
      <c r="Y550" s="2">
        <v>4.9599999999999998E-2</v>
      </c>
      <c r="Z550" s="2">
        <v>4.36E-2</v>
      </c>
      <c r="AA550" s="5"/>
      <c r="AB550" s="2">
        <v>1.3899999999999999E-2</v>
      </c>
      <c r="AC550" s="2">
        <v>5.9199999999999999E-3</v>
      </c>
      <c r="AD550" s="2">
        <v>1.0200000000000001E-2</v>
      </c>
      <c r="AE550" s="2">
        <v>0.12</v>
      </c>
      <c r="AF550" s="5"/>
      <c r="AG550" s="5"/>
      <c r="AH550" s="2">
        <v>5.0299999999999997E-2</v>
      </c>
      <c r="AI550" s="2">
        <v>9.1900000000000003E-3</v>
      </c>
      <c r="AJ550" s="2">
        <v>5.2699999999999997E-2</v>
      </c>
      <c r="AK550" s="2">
        <v>2.8500000000000001E-2</v>
      </c>
      <c r="AL550" s="5"/>
      <c r="AM550" s="5"/>
      <c r="AN550" s="2">
        <v>3.5200000000000002E-2</v>
      </c>
      <c r="AO550" s="2">
        <v>2.0500000000000001E-2</v>
      </c>
      <c r="AP550" s="79">
        <v>58.2</v>
      </c>
    </row>
    <row r="551" spans="1:42">
      <c r="A551" s="9" t="s">
        <v>308</v>
      </c>
      <c r="B551" s="4">
        <v>1.6299999999999999E-2</v>
      </c>
      <c r="C551" s="4">
        <v>5.8399999999999997E-3</v>
      </c>
      <c r="D551" s="4">
        <v>1.8400000000000001E-3</v>
      </c>
      <c r="E551" s="4">
        <v>1.17E-2</v>
      </c>
      <c r="F551" s="4">
        <v>7.8600000000000003E-2</v>
      </c>
      <c r="G551" s="4">
        <v>3.4099999999999998E-3</v>
      </c>
      <c r="H551" s="4">
        <v>9.3200000000000002E-3</v>
      </c>
      <c r="I551" s="4">
        <v>1.66E-2</v>
      </c>
      <c r="J551" s="4">
        <v>1.0800000000000001E-2</v>
      </c>
      <c r="K551" s="4">
        <v>2.0299999999999999E-2</v>
      </c>
      <c r="L551" s="4">
        <v>6.62E-3</v>
      </c>
      <c r="M551" s="4">
        <v>2.7099999999999999E-2</v>
      </c>
      <c r="N551" s="4">
        <v>3.0100000000000001E-3</v>
      </c>
      <c r="O551" s="4">
        <v>4.79E-3</v>
      </c>
      <c r="P551" s="4">
        <v>1.17E-2</v>
      </c>
      <c r="Q551" s="4">
        <v>3.2299999999999998E-3</v>
      </c>
      <c r="R551" s="4">
        <v>8.6199999999999992E-3</v>
      </c>
      <c r="S551" s="4">
        <v>2.6700000000000002E-2</v>
      </c>
      <c r="T551" s="4">
        <v>1.44E-2</v>
      </c>
      <c r="U551" s="4">
        <v>1.06E-2</v>
      </c>
      <c r="V551" s="4">
        <v>1.61E-2</v>
      </c>
      <c r="W551" s="4">
        <v>9.4999999999999998E-3</v>
      </c>
      <c r="X551" s="4">
        <v>1.0500000000000001E-2</v>
      </c>
      <c r="Y551" s="4">
        <v>3.3700000000000001E-2</v>
      </c>
      <c r="Z551" s="4">
        <v>1.54E-2</v>
      </c>
      <c r="AA551" s="3"/>
      <c r="AB551" s="4">
        <v>6.6800000000000002E-3</v>
      </c>
      <c r="AC551" s="4">
        <v>1.67E-2</v>
      </c>
      <c r="AD551" s="4">
        <v>2.2100000000000002E-2</v>
      </c>
      <c r="AE551" s="4">
        <v>9.8500000000000004E-2</v>
      </c>
      <c r="AF551" s="3"/>
      <c r="AG551" s="3"/>
      <c r="AH551" s="3"/>
      <c r="AI551" s="4">
        <v>2.6800000000000001E-2</v>
      </c>
      <c r="AJ551" s="4">
        <v>1.32E-2</v>
      </c>
      <c r="AK551" s="4">
        <v>1.0699999999999999E-2</v>
      </c>
      <c r="AL551" s="4">
        <v>1.8799999999999999E-3</v>
      </c>
      <c r="AM551" s="3"/>
      <c r="AN551" s="4">
        <v>1.32E-2</v>
      </c>
      <c r="AO551" s="4">
        <v>1.03E-2</v>
      </c>
      <c r="AP551" s="78">
        <v>78.599999999999994</v>
      </c>
    </row>
    <row r="552" spans="1:42">
      <c r="A552" s="9" t="s">
        <v>309</v>
      </c>
      <c r="B552" s="2">
        <v>7.4000000000000003E-3</v>
      </c>
      <c r="C552" s="2">
        <v>3.82E-3</v>
      </c>
      <c r="D552" s="5"/>
      <c r="E552" s="2">
        <v>1.75E-3</v>
      </c>
      <c r="F552" s="2">
        <v>4.1999999999999997E-3</v>
      </c>
      <c r="G552" s="5"/>
      <c r="H552" s="2">
        <v>7.9900000000000006E-3</v>
      </c>
      <c r="I552" s="2">
        <v>7.6899999999999998E-3</v>
      </c>
      <c r="J552" s="2">
        <v>6.9199999999999999E-3</v>
      </c>
      <c r="K552" s="2">
        <v>5.4299999999999999E-3</v>
      </c>
      <c r="L552" s="2">
        <v>1.1299999999999999E-2</v>
      </c>
      <c r="M552" s="2">
        <v>1.17E-2</v>
      </c>
      <c r="N552" s="2">
        <v>2.2599999999999999E-3</v>
      </c>
      <c r="O552" s="2">
        <v>4.6100000000000004E-3</v>
      </c>
      <c r="P552" s="2">
        <v>7.7099999999999998E-3</v>
      </c>
      <c r="Q552" s="2">
        <v>1.9E-3</v>
      </c>
      <c r="R552" s="2">
        <v>1.7600000000000001E-3</v>
      </c>
      <c r="S552" s="2">
        <v>1.14E-2</v>
      </c>
      <c r="T552" s="2">
        <v>7.3800000000000003E-3</v>
      </c>
      <c r="U552" s="2">
        <v>2.2100000000000002E-2</v>
      </c>
      <c r="V552" s="2">
        <v>1.2E-2</v>
      </c>
      <c r="W552" s="2">
        <v>1.1299999999999999E-2</v>
      </c>
      <c r="X552" s="2">
        <v>5.8599999999999998E-3</v>
      </c>
      <c r="Y552" s="2">
        <v>1.14E-2</v>
      </c>
      <c r="Z552" s="2">
        <v>9.9900000000000006E-3</v>
      </c>
      <c r="AA552" s="5"/>
      <c r="AB552" s="2">
        <v>3.1800000000000001E-3</v>
      </c>
      <c r="AC552" s="2">
        <v>5.22E-4</v>
      </c>
      <c r="AD552" s="2">
        <v>2.3900000000000002E-3</v>
      </c>
      <c r="AE552" s="2">
        <v>8.2699999999999996E-3</v>
      </c>
      <c r="AF552" s="5"/>
      <c r="AG552" s="5"/>
      <c r="AH552" s="2">
        <v>9.41E-3</v>
      </c>
      <c r="AI552" s="2">
        <v>8.8900000000000003E-3</v>
      </c>
      <c r="AJ552" s="2">
        <v>9.5899999999999996E-3</v>
      </c>
      <c r="AK552" s="2">
        <v>6.62E-3</v>
      </c>
      <c r="AL552" s="2">
        <v>1.89E-3</v>
      </c>
      <c r="AM552" s="5"/>
      <c r="AN552" s="2">
        <v>7.28E-3</v>
      </c>
      <c r="AO552" s="2">
        <v>3.2399999999999998E-3</v>
      </c>
      <c r="AP552" s="79">
        <v>44.5</v>
      </c>
    </row>
    <row r="553" spans="1:42">
      <c r="A553" s="9" t="s">
        <v>310</v>
      </c>
      <c r="B553" s="4">
        <v>9.0299999999999998E-3</v>
      </c>
      <c r="C553" s="4">
        <v>3.8700000000000002E-3</v>
      </c>
      <c r="D553" s="3"/>
      <c r="E553" s="4">
        <v>5.6600000000000001E-3</v>
      </c>
      <c r="F553" s="4">
        <v>1.15E-2</v>
      </c>
      <c r="G553" s="4">
        <v>4.1399999999999996E-3</v>
      </c>
      <c r="H553" s="4">
        <v>8.2199999999999999E-3</v>
      </c>
      <c r="I553" s="4">
        <v>1.1599999999999999E-2</v>
      </c>
      <c r="J553" s="4">
        <v>9.0500000000000008E-3</v>
      </c>
      <c r="K553" s="4">
        <v>5.0600000000000003E-3</v>
      </c>
      <c r="L553" s="4">
        <v>8.5299999999999994E-3</v>
      </c>
      <c r="M553" s="4">
        <v>1.4200000000000001E-2</v>
      </c>
      <c r="N553" s="4">
        <v>3.0899999999999999E-3</v>
      </c>
      <c r="O553" s="4">
        <v>4.4999999999999997E-3</v>
      </c>
      <c r="P553" s="4">
        <v>1.5100000000000001E-2</v>
      </c>
      <c r="Q553" s="4">
        <v>3.14E-3</v>
      </c>
      <c r="R553" s="4">
        <v>2.2100000000000002E-3</v>
      </c>
      <c r="S553" s="4">
        <v>1.1299999999999999E-2</v>
      </c>
      <c r="T553" s="4">
        <v>8.8800000000000007E-3</v>
      </c>
      <c r="U553" s="4">
        <v>1.5900000000000001E-2</v>
      </c>
      <c r="V553" s="4">
        <v>1.2999999999999999E-2</v>
      </c>
      <c r="W553" s="4">
        <v>7.7400000000000004E-3</v>
      </c>
      <c r="X553" s="4">
        <v>4.8500000000000001E-3</v>
      </c>
      <c r="Y553" s="4">
        <v>1.55E-2</v>
      </c>
      <c r="Z553" s="4">
        <v>1.18E-2</v>
      </c>
      <c r="AA553" s="3"/>
      <c r="AB553" s="4">
        <v>5.8900000000000003E-3</v>
      </c>
      <c r="AC553" s="4">
        <v>2.9499999999999999E-3</v>
      </c>
      <c r="AD553" s="4">
        <v>3.5899999999999999E-3</v>
      </c>
      <c r="AE553" s="3"/>
      <c r="AF553" s="3"/>
      <c r="AG553" s="3"/>
      <c r="AH553" s="4">
        <v>8.2400000000000008E-3</v>
      </c>
      <c r="AI553" s="4">
        <v>2.1700000000000001E-2</v>
      </c>
      <c r="AJ553" s="4">
        <v>8.1700000000000002E-3</v>
      </c>
      <c r="AK553" s="4">
        <v>7.6899999999999998E-3</v>
      </c>
      <c r="AL553" s="4">
        <v>1.8500000000000001E-3</v>
      </c>
      <c r="AM553" s="3"/>
      <c r="AN553" s="4">
        <v>9.5200000000000007E-3</v>
      </c>
      <c r="AO553" s="4">
        <v>7.3000000000000001E-3</v>
      </c>
      <c r="AP553" s="78">
        <v>76.599999999999994</v>
      </c>
    </row>
    <row r="554" spans="1:42">
      <c r="A554" s="9" t="s">
        <v>311</v>
      </c>
      <c r="B554" s="2">
        <v>0.59299999999999997</v>
      </c>
      <c r="C554" s="2">
        <v>0.32800000000000001</v>
      </c>
      <c r="D554" s="2">
        <v>0.374</v>
      </c>
      <c r="E554" s="2">
        <v>0.23699999999999999</v>
      </c>
      <c r="F554" s="2">
        <v>0.56100000000000005</v>
      </c>
      <c r="G554" s="2">
        <v>0.31900000000000001</v>
      </c>
      <c r="H554" s="2">
        <v>0.67</v>
      </c>
      <c r="I554" s="2">
        <v>0.67400000000000004</v>
      </c>
      <c r="J554" s="2">
        <v>0.70399999999999996</v>
      </c>
      <c r="K554" s="2">
        <v>0.433</v>
      </c>
      <c r="L554" s="2">
        <v>0.55300000000000005</v>
      </c>
      <c r="M554" s="2">
        <v>0.66600000000000004</v>
      </c>
      <c r="N554" s="2">
        <v>0.308</v>
      </c>
      <c r="O554" s="2">
        <v>0.376</v>
      </c>
      <c r="P554" s="2">
        <v>0.71899999999999997</v>
      </c>
      <c r="Q554" s="2">
        <v>0.32100000000000001</v>
      </c>
      <c r="R554" s="2">
        <v>0.246</v>
      </c>
      <c r="S554" s="2">
        <v>0.624</v>
      </c>
      <c r="T554" s="2">
        <v>0.27300000000000002</v>
      </c>
      <c r="U554" s="2">
        <v>1.21</v>
      </c>
      <c r="V554" s="2">
        <v>0.92200000000000004</v>
      </c>
      <c r="W554" s="2">
        <v>0.58199999999999996</v>
      </c>
      <c r="X554" s="2">
        <v>0.36899999999999999</v>
      </c>
      <c r="Y554" s="2">
        <v>0.53700000000000003</v>
      </c>
      <c r="Z554" s="2">
        <v>0.51300000000000001</v>
      </c>
      <c r="AA554" s="5"/>
      <c r="AB554" s="2">
        <v>0.31900000000000001</v>
      </c>
      <c r="AC554" s="2">
        <v>0.23400000000000001</v>
      </c>
      <c r="AD554" s="2">
        <v>0.39100000000000001</v>
      </c>
      <c r="AE554" s="2">
        <v>0.96499999999999997</v>
      </c>
      <c r="AF554" s="5"/>
      <c r="AG554" s="5"/>
      <c r="AH554" s="2">
        <v>0.60499999999999998</v>
      </c>
      <c r="AI554" s="2">
        <v>0.89</v>
      </c>
      <c r="AJ554" s="2">
        <v>0.56399999999999995</v>
      </c>
      <c r="AK554" s="2">
        <v>0.57999999999999996</v>
      </c>
      <c r="AL554" s="2">
        <v>0.17299999999999999</v>
      </c>
      <c r="AM554" s="5"/>
      <c r="AN554" s="2">
        <v>0.56200000000000006</v>
      </c>
      <c r="AO554" s="2">
        <v>0.255</v>
      </c>
      <c r="AP554" s="79">
        <v>45.4</v>
      </c>
    </row>
    <row r="555" spans="1:42">
      <c r="A555" s="9" t="s">
        <v>312</v>
      </c>
      <c r="B555" s="4">
        <v>0.14199999999999999</v>
      </c>
      <c r="C555" s="4">
        <v>0.113</v>
      </c>
      <c r="D555" s="4">
        <v>6.2600000000000003E-2</v>
      </c>
      <c r="E555" s="4">
        <v>2.1999999999999999E-2</v>
      </c>
      <c r="F555" s="4">
        <v>4.82E-2</v>
      </c>
      <c r="G555" s="4">
        <v>3.8899999999999997E-2</v>
      </c>
      <c r="H555" s="4">
        <v>0.26700000000000002</v>
      </c>
      <c r="I555" s="4">
        <v>0.317</v>
      </c>
      <c r="J555" s="4">
        <v>0.28199999999999997</v>
      </c>
      <c r="K555" s="4">
        <v>0.127</v>
      </c>
      <c r="L555" s="4">
        <v>0.314</v>
      </c>
      <c r="M555" s="4">
        <v>0.151</v>
      </c>
      <c r="N555" s="4">
        <v>5.1999999999999998E-2</v>
      </c>
      <c r="O555" s="4">
        <v>7.3599999999999999E-2</v>
      </c>
      <c r="P555" s="4">
        <v>0.152</v>
      </c>
      <c r="Q555" s="4">
        <v>4.3299999999999998E-2</v>
      </c>
      <c r="R555" s="4">
        <v>4.82E-2</v>
      </c>
      <c r="S555" s="4">
        <v>0.151</v>
      </c>
      <c r="T555" s="4">
        <v>0.245</v>
      </c>
      <c r="U555" s="4">
        <v>0.84899999999999998</v>
      </c>
      <c r="V555" s="4">
        <v>0.59199999999999997</v>
      </c>
      <c r="W555" s="4">
        <v>0.36299999999999999</v>
      </c>
      <c r="X555" s="4">
        <v>0.192</v>
      </c>
      <c r="Y555" s="4">
        <v>0.23699999999999999</v>
      </c>
      <c r="Z555" s="4">
        <v>0.26300000000000001</v>
      </c>
      <c r="AA555" s="3"/>
      <c r="AB555" s="4">
        <v>4.9799999999999997E-2</v>
      </c>
      <c r="AC555" s="4">
        <v>3.7400000000000003E-2</v>
      </c>
      <c r="AD555" s="4">
        <v>4.9500000000000002E-2</v>
      </c>
      <c r="AE555" s="4">
        <v>8.6400000000000005E-2</v>
      </c>
      <c r="AF555" s="3"/>
      <c r="AG555" s="3"/>
      <c r="AH555" s="3"/>
      <c r="AI555" s="4">
        <v>0.182</v>
      </c>
      <c r="AJ555" s="4">
        <v>0.23699999999999999</v>
      </c>
      <c r="AK555" s="4">
        <v>0.17299999999999999</v>
      </c>
      <c r="AL555" s="4">
        <v>4.2700000000000002E-2</v>
      </c>
      <c r="AM555" s="3"/>
      <c r="AN555" s="4">
        <v>0.159</v>
      </c>
      <c r="AO555" s="4">
        <v>8.2500000000000004E-2</v>
      </c>
      <c r="AP555" s="78">
        <v>52</v>
      </c>
    </row>
    <row r="556" spans="1:42">
      <c r="A556" s="9" t="s">
        <v>313</v>
      </c>
      <c r="B556" s="2">
        <v>8.0199999999999994E-2</v>
      </c>
      <c r="C556" s="2">
        <v>4.82E-2</v>
      </c>
      <c r="D556" s="2">
        <v>5.8500000000000003E-2</v>
      </c>
      <c r="E556" s="2">
        <v>3.1E-2</v>
      </c>
      <c r="F556" s="2">
        <v>7.3200000000000001E-2</v>
      </c>
      <c r="G556" s="2">
        <v>4.8500000000000001E-2</v>
      </c>
      <c r="H556" s="2">
        <v>9.3399999999999997E-2</v>
      </c>
      <c r="I556" s="2">
        <v>9.3200000000000005E-2</v>
      </c>
      <c r="J556" s="2">
        <v>9.64E-2</v>
      </c>
      <c r="K556" s="2">
        <v>5.8400000000000001E-2</v>
      </c>
      <c r="L556" s="2">
        <v>7.7499999999999999E-2</v>
      </c>
      <c r="M556" s="2">
        <v>9.6500000000000002E-2</v>
      </c>
      <c r="N556" s="2">
        <v>4.0599999999999997E-2</v>
      </c>
      <c r="O556" s="2">
        <v>4.8500000000000001E-2</v>
      </c>
      <c r="P556" s="2">
        <v>0.10199999999999999</v>
      </c>
      <c r="Q556" s="2">
        <v>4.2200000000000001E-2</v>
      </c>
      <c r="R556" s="2">
        <v>3.9199999999999999E-2</v>
      </c>
      <c r="S556" s="2">
        <v>8.3000000000000004E-2</v>
      </c>
      <c r="T556" s="2">
        <v>3.4500000000000003E-2</v>
      </c>
      <c r="U556" s="2">
        <v>0.13500000000000001</v>
      </c>
      <c r="V556" s="2">
        <v>0.109</v>
      </c>
      <c r="W556" s="2">
        <v>9.2700000000000005E-2</v>
      </c>
      <c r="X556" s="2">
        <v>5.91E-2</v>
      </c>
      <c r="Y556" s="2">
        <v>8.3900000000000002E-2</v>
      </c>
      <c r="Z556" s="2">
        <v>7.4200000000000002E-2</v>
      </c>
      <c r="AA556" s="5"/>
      <c r="AB556" s="2">
        <v>4.87E-2</v>
      </c>
      <c r="AC556" s="2">
        <v>3.4799999999999998E-2</v>
      </c>
      <c r="AD556" s="2">
        <v>5.67E-2</v>
      </c>
      <c r="AE556" s="2">
        <v>0.126</v>
      </c>
      <c r="AF556" s="5"/>
      <c r="AG556" s="5"/>
      <c r="AH556" s="2">
        <v>9.7299999999999998E-2</v>
      </c>
      <c r="AI556" s="2">
        <v>0.11700000000000001</v>
      </c>
      <c r="AJ556" s="2">
        <v>7.4700000000000003E-2</v>
      </c>
      <c r="AK556" s="2">
        <v>7.7499999999999999E-2</v>
      </c>
      <c r="AL556" s="2">
        <v>2.4899999999999999E-2</v>
      </c>
      <c r="AM556" s="5"/>
      <c r="AN556" s="2">
        <v>7.8200000000000006E-2</v>
      </c>
      <c r="AO556" s="2">
        <v>3.4299999999999997E-2</v>
      </c>
      <c r="AP556" s="79">
        <v>43.8</v>
      </c>
    </row>
    <row r="557" spans="1:42">
      <c r="A557" s="9" t="s">
        <v>314</v>
      </c>
      <c r="B557" s="3"/>
      <c r="C557" s="3"/>
      <c r="D557" s="3"/>
      <c r="E557" s="4">
        <v>1.1299999999999999E-2</v>
      </c>
      <c r="F557" s="4">
        <v>1.9599999999999999E-2</v>
      </c>
      <c r="G557" s="4">
        <v>5.9199999999999999E-3</v>
      </c>
      <c r="H557" s="3"/>
      <c r="I557" s="3"/>
      <c r="J557" s="3"/>
      <c r="K557" s="4">
        <v>7.7400000000000004E-3</v>
      </c>
      <c r="L557" s="3"/>
      <c r="M557" s="3"/>
      <c r="N557" s="3"/>
      <c r="O557" s="3"/>
      <c r="P557" s="3"/>
      <c r="Q557" s="4">
        <v>8.2199999999999999E-3</v>
      </c>
      <c r="R557" s="4">
        <v>4.8799999999999998E-3</v>
      </c>
      <c r="S557" s="3"/>
      <c r="T557" s="3"/>
      <c r="U557" s="3"/>
      <c r="V557" s="4">
        <v>1.06E-2</v>
      </c>
      <c r="W557" s="3"/>
      <c r="X557" s="4">
        <v>1.03E-2</v>
      </c>
      <c r="Y557" s="4">
        <v>1.78E-2</v>
      </c>
      <c r="Z557" s="4">
        <v>2.5399999999999999E-2</v>
      </c>
      <c r="AA557" s="3"/>
      <c r="AB557" s="4">
        <v>7.8100000000000001E-3</v>
      </c>
      <c r="AC557" s="4">
        <v>6.28E-3</v>
      </c>
      <c r="AD557" s="4">
        <v>6.62E-3</v>
      </c>
      <c r="AE557" s="4">
        <v>2.23E-2</v>
      </c>
      <c r="AF557" s="3"/>
      <c r="AG557" s="3"/>
      <c r="AH557" s="3"/>
      <c r="AI557" s="3"/>
      <c r="AJ557" s="3"/>
      <c r="AK557" s="4">
        <v>1.49E-2</v>
      </c>
      <c r="AL557" s="4">
        <v>3.8600000000000001E-3</v>
      </c>
      <c r="AM557" s="3"/>
      <c r="AN557" s="4">
        <v>9.3600000000000003E-3</v>
      </c>
      <c r="AO557" s="4">
        <v>7.7799999999999996E-3</v>
      </c>
      <c r="AP557" s="78">
        <v>83.2</v>
      </c>
    </row>
    <row r="558" spans="1:42">
      <c r="A558" s="9" t="s">
        <v>315</v>
      </c>
      <c r="B558" s="2">
        <v>0.17899999999999999</v>
      </c>
      <c r="C558" s="2">
        <v>0.14399999999999999</v>
      </c>
      <c r="D558" s="2">
        <v>0.13900000000000001</v>
      </c>
      <c r="E558" s="2">
        <v>0.184</v>
      </c>
      <c r="F558" s="2">
        <v>0.53200000000000003</v>
      </c>
      <c r="G558" s="2">
        <v>0.13600000000000001</v>
      </c>
      <c r="H558" s="2">
        <v>0.248</v>
      </c>
      <c r="I558" s="2">
        <v>0.25</v>
      </c>
      <c r="J558" s="2">
        <v>0.23699999999999999</v>
      </c>
      <c r="K558" s="2">
        <v>0.23</v>
      </c>
      <c r="L558" s="2">
        <v>0.20399999999999999</v>
      </c>
      <c r="M558" s="2">
        <v>0.2</v>
      </c>
      <c r="N558" s="2">
        <v>0.127</v>
      </c>
      <c r="O558" s="2">
        <v>0.11899999999999999</v>
      </c>
      <c r="P558" s="2">
        <v>0.2</v>
      </c>
      <c r="Q558" s="2">
        <v>0.16</v>
      </c>
      <c r="R558" s="2">
        <v>9.4100000000000003E-2</v>
      </c>
      <c r="S558" s="2">
        <v>0.214</v>
      </c>
      <c r="T558" s="2">
        <v>0.155</v>
      </c>
      <c r="U558" s="2">
        <v>0.35299999999999998</v>
      </c>
      <c r="V558" s="2">
        <v>0.27400000000000002</v>
      </c>
      <c r="W558" s="2">
        <v>0.21199999999999999</v>
      </c>
      <c r="X558" s="2">
        <v>0.14399999999999999</v>
      </c>
      <c r="Y558" s="2">
        <v>0.19500000000000001</v>
      </c>
      <c r="Z558" s="2">
        <v>0.19400000000000001</v>
      </c>
      <c r="AA558" s="5"/>
      <c r="AB558" s="2">
        <v>0.11899999999999999</v>
      </c>
      <c r="AC558" s="2">
        <v>0.108</v>
      </c>
      <c r="AD558" s="2">
        <v>0.156</v>
      </c>
      <c r="AE558" s="5"/>
      <c r="AF558" s="5"/>
      <c r="AG558" s="5"/>
      <c r="AH558" s="2">
        <v>0.224</v>
      </c>
      <c r="AI558" s="2">
        <v>0.34</v>
      </c>
      <c r="AJ558" s="2">
        <v>0.18</v>
      </c>
      <c r="AK558" s="2">
        <v>0.33500000000000002</v>
      </c>
      <c r="AL558" s="2">
        <v>6.5199999999999994E-2</v>
      </c>
      <c r="AM558" s="5"/>
      <c r="AN558" s="2">
        <v>0.22900000000000001</v>
      </c>
      <c r="AO558" s="2">
        <v>0.115</v>
      </c>
      <c r="AP558" s="79">
        <v>50.1</v>
      </c>
    </row>
    <row r="559" spans="1:42">
      <c r="A559" s="9" t="s">
        <v>316</v>
      </c>
      <c r="B559" s="4">
        <v>3.1399999999999997E-2</v>
      </c>
      <c r="C559" s="4">
        <v>1.38E-2</v>
      </c>
      <c r="D559" s="4">
        <v>1.6899999999999998E-2</v>
      </c>
      <c r="E559" s="4">
        <v>1.49E-2</v>
      </c>
      <c r="F559" s="4">
        <v>3.1E-2</v>
      </c>
      <c r="G559" s="4">
        <v>2.2800000000000001E-2</v>
      </c>
      <c r="H559" s="4">
        <v>1.7100000000000001E-2</v>
      </c>
      <c r="I559" s="4">
        <v>9.4000000000000004E-3</v>
      </c>
      <c r="J559" s="4">
        <v>7.7000000000000002E-3</v>
      </c>
      <c r="K559" s="4">
        <v>1.5299999999999999E-2</v>
      </c>
      <c r="L559" s="4">
        <v>1.47E-2</v>
      </c>
      <c r="M559" s="4">
        <v>3.7600000000000001E-2</v>
      </c>
      <c r="N559" s="4">
        <v>8.77E-3</v>
      </c>
      <c r="O559" s="4">
        <v>1.0800000000000001E-2</v>
      </c>
      <c r="P559" s="4">
        <v>2.0299999999999999E-2</v>
      </c>
      <c r="Q559" s="4">
        <v>2.0500000000000001E-2</v>
      </c>
      <c r="R559" s="4">
        <v>1.34E-2</v>
      </c>
      <c r="S559" s="4">
        <v>2.1700000000000001E-2</v>
      </c>
      <c r="T559" s="4">
        <v>2.0799999999999999E-2</v>
      </c>
      <c r="U559" s="4">
        <v>3.0099999999999998E-2</v>
      </c>
      <c r="V559" s="4">
        <v>1.7600000000000001E-2</v>
      </c>
      <c r="W559" s="4">
        <v>2.5899999999999999E-2</v>
      </c>
      <c r="X559" s="4">
        <v>1.0699999999999999E-2</v>
      </c>
      <c r="Y559" s="4">
        <v>1.4200000000000001E-2</v>
      </c>
      <c r="Z559" s="3"/>
      <c r="AA559" s="3"/>
      <c r="AB559" s="4">
        <v>1.24E-2</v>
      </c>
      <c r="AC559" s="4">
        <v>9.2700000000000005E-3</v>
      </c>
      <c r="AD559" s="4">
        <v>1.34E-2</v>
      </c>
      <c r="AE559" s="4">
        <v>1.5599999999999999E-2</v>
      </c>
      <c r="AF559" s="3"/>
      <c r="AG559" s="3"/>
      <c r="AH559" s="4">
        <v>2.1100000000000001E-2</v>
      </c>
      <c r="AI559" s="4">
        <v>3.4000000000000002E-2</v>
      </c>
      <c r="AJ559" s="3"/>
      <c r="AK559" s="4">
        <v>1.84E-2</v>
      </c>
      <c r="AL559" s="4">
        <v>6.1799999999999997E-3</v>
      </c>
      <c r="AM559" s="3"/>
      <c r="AN559" s="4">
        <v>1.9900000000000001E-2</v>
      </c>
      <c r="AO559" s="4">
        <v>1.14E-2</v>
      </c>
      <c r="AP559" s="78">
        <v>57.2</v>
      </c>
    </row>
    <row r="560" spans="1:42">
      <c r="A560" s="9" t="s">
        <v>317</v>
      </c>
      <c r="B560" s="2">
        <v>3.5299999999999998E-2</v>
      </c>
      <c r="C560" s="2">
        <v>8.1300000000000001E-3</v>
      </c>
      <c r="D560" s="2">
        <v>6.2300000000000003E-3</v>
      </c>
      <c r="E560" s="2">
        <v>5.6699999999999997E-3</v>
      </c>
      <c r="F560" s="2">
        <v>1.7399999999999999E-2</v>
      </c>
      <c r="G560" s="2">
        <v>7.7299999999999999E-3</v>
      </c>
      <c r="H560" s="2">
        <v>2.2100000000000002E-2</v>
      </c>
      <c r="I560" s="2">
        <v>2.5000000000000001E-2</v>
      </c>
      <c r="J560" s="2">
        <v>2.6599999999999999E-2</v>
      </c>
      <c r="K560" s="2">
        <v>2.9499999999999998E-2</v>
      </c>
      <c r="L560" s="2">
        <v>2.3199999999999998E-2</v>
      </c>
      <c r="M560" s="2">
        <v>3.6299999999999999E-2</v>
      </c>
      <c r="N560" s="2">
        <v>1.2200000000000001E-2</v>
      </c>
      <c r="O560" s="2">
        <v>1.7299999999999999E-2</v>
      </c>
      <c r="P560" s="2">
        <v>3.2800000000000003E-2</v>
      </c>
      <c r="Q560" s="2">
        <v>1.32E-2</v>
      </c>
      <c r="R560" s="2">
        <v>6.9499999999999996E-3</v>
      </c>
      <c r="S560" s="2">
        <v>3.2300000000000002E-2</v>
      </c>
      <c r="T560" s="2">
        <v>3.5999999999999997E-2</v>
      </c>
      <c r="U560" s="2">
        <v>6.0199999999999997E-2</v>
      </c>
      <c r="V560" s="2">
        <v>4.7500000000000001E-2</v>
      </c>
      <c r="W560" s="2">
        <v>6.6699999999999995E-2</v>
      </c>
      <c r="X560" s="2">
        <v>3.56E-2</v>
      </c>
      <c r="Y560" s="2">
        <v>4.53E-2</v>
      </c>
      <c r="Z560" s="2">
        <v>5.0700000000000002E-2</v>
      </c>
      <c r="AA560" s="5"/>
      <c r="AB560" s="2">
        <v>9.8899999999999995E-3</v>
      </c>
      <c r="AC560" s="2">
        <v>1.1299999999999999E-2</v>
      </c>
      <c r="AD560" s="2">
        <v>1.7399999999999999E-2</v>
      </c>
      <c r="AE560" s="2">
        <v>3.09E-2</v>
      </c>
      <c r="AF560" s="5"/>
      <c r="AG560" s="5"/>
      <c r="AH560" s="2">
        <v>3.5900000000000001E-2</v>
      </c>
      <c r="AI560" s="2">
        <v>3.5400000000000001E-2</v>
      </c>
      <c r="AJ560" s="2">
        <v>1.7000000000000001E-2</v>
      </c>
      <c r="AK560" s="2">
        <v>3.0499999999999999E-2</v>
      </c>
      <c r="AL560" s="2">
        <v>8.0400000000000003E-3</v>
      </c>
      <c r="AM560" s="5"/>
      <c r="AN560" s="2">
        <v>2.5399999999999999E-2</v>
      </c>
      <c r="AO560" s="2">
        <v>1.23E-2</v>
      </c>
      <c r="AP560" s="79">
        <v>48.6</v>
      </c>
    </row>
    <row r="561" spans="1:45">
      <c r="A561" s="9" t="s">
        <v>318</v>
      </c>
      <c r="B561" s="3"/>
      <c r="C561" s="3"/>
      <c r="D561" s="3"/>
      <c r="E561" s="3"/>
      <c r="F561" s="3"/>
      <c r="G561" s="3"/>
      <c r="H561" s="3"/>
      <c r="I561" s="4">
        <v>9.0300000000000005E-4</v>
      </c>
      <c r="J561" s="4">
        <v>5.2800000000000004E-4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4">
        <v>0</v>
      </c>
      <c r="AP561" s="68"/>
    </row>
    <row r="562" spans="1:45">
      <c r="A562" s="9" t="s">
        <v>319</v>
      </c>
      <c r="B562" s="2">
        <v>0.12</v>
      </c>
      <c r="C562" s="2">
        <v>5.0999999999999997E-2</v>
      </c>
      <c r="D562" s="2">
        <v>4.5999999999999999E-2</v>
      </c>
      <c r="E562" s="2">
        <v>2.07E-2</v>
      </c>
      <c r="F562" s="2">
        <v>4.8599999999999997E-2</v>
      </c>
      <c r="G562" s="2">
        <v>2.5999999999999999E-2</v>
      </c>
      <c r="H562" s="2">
        <v>0.13300000000000001</v>
      </c>
      <c r="I562" s="2">
        <v>0.159</v>
      </c>
      <c r="J562" s="2">
        <v>0.17899999999999999</v>
      </c>
      <c r="K562" s="2">
        <v>0.11600000000000001</v>
      </c>
      <c r="L562" s="2">
        <v>0.127</v>
      </c>
      <c r="M562" s="2">
        <v>0.114</v>
      </c>
      <c r="N562" s="2">
        <v>3.6900000000000002E-2</v>
      </c>
      <c r="O562" s="2">
        <v>5.1299999999999998E-2</v>
      </c>
      <c r="P562" s="2">
        <v>0.127</v>
      </c>
      <c r="Q562" s="2">
        <v>4.5699999999999998E-2</v>
      </c>
      <c r="R562" s="2">
        <v>2.23E-2</v>
      </c>
      <c r="S562" s="2">
        <v>0.13200000000000001</v>
      </c>
      <c r="T562" s="2">
        <v>7.46E-2</v>
      </c>
      <c r="U562" s="2">
        <v>0.21099999999999999</v>
      </c>
      <c r="V562" s="2">
        <v>0.156</v>
      </c>
      <c r="W562" s="2">
        <v>0.19</v>
      </c>
      <c r="X562" s="2">
        <v>0.11</v>
      </c>
      <c r="Y562" s="2">
        <v>0.14899999999999999</v>
      </c>
      <c r="Z562" s="2">
        <v>0.14499999999999999</v>
      </c>
      <c r="AA562" s="5"/>
      <c r="AB562" s="2">
        <v>3.4000000000000002E-2</v>
      </c>
      <c r="AC562" s="2">
        <v>3.1399999999999997E-2</v>
      </c>
      <c r="AD562" s="2">
        <v>3.5099999999999999E-2</v>
      </c>
      <c r="AE562" s="2">
        <v>6.8000000000000005E-2</v>
      </c>
      <c r="AF562" s="5"/>
      <c r="AG562" s="5"/>
      <c r="AH562" s="2">
        <v>0.11799999999999999</v>
      </c>
      <c r="AI562" s="2">
        <v>0.14399999999999999</v>
      </c>
      <c r="AJ562" s="2">
        <v>0.11700000000000001</v>
      </c>
      <c r="AK562" s="2">
        <v>0.13600000000000001</v>
      </c>
      <c r="AL562" s="2">
        <v>1.8800000000000001E-2</v>
      </c>
      <c r="AM562" s="5"/>
      <c r="AN562" s="2">
        <v>0.107</v>
      </c>
      <c r="AO562" s="2">
        <v>5.0599999999999999E-2</v>
      </c>
      <c r="AP562" s="79">
        <v>47.3</v>
      </c>
    </row>
    <row r="563" spans="1:45">
      <c r="A563" s="9" t="s">
        <v>320</v>
      </c>
      <c r="B563" s="4">
        <v>0.32700000000000001</v>
      </c>
      <c r="C563" s="4">
        <v>0.14000000000000001</v>
      </c>
      <c r="D563" s="4">
        <v>7.0199999999999999E-2</v>
      </c>
      <c r="E563" s="4">
        <v>4.0300000000000002E-2</v>
      </c>
      <c r="F563" s="4">
        <v>0.11899999999999999</v>
      </c>
      <c r="G563" s="4">
        <v>0.104</v>
      </c>
      <c r="H563" s="4">
        <v>0.32</v>
      </c>
      <c r="I563" s="4">
        <v>0.40200000000000002</v>
      </c>
      <c r="J563" s="4">
        <v>0.46600000000000003</v>
      </c>
      <c r="K563" s="4">
        <v>0.22800000000000001</v>
      </c>
      <c r="L563" s="4">
        <v>0.29399999999999998</v>
      </c>
      <c r="M563" s="4">
        <v>0.309</v>
      </c>
      <c r="N563" s="4">
        <v>9.5699999999999993E-2</v>
      </c>
      <c r="O563" s="4">
        <v>0.157</v>
      </c>
      <c r="P563" s="4">
        <v>0.32100000000000001</v>
      </c>
      <c r="Q563" s="4">
        <v>0.11799999999999999</v>
      </c>
      <c r="R563" s="4">
        <v>7.4099999999999999E-2</v>
      </c>
      <c r="S563" s="4">
        <v>0.316</v>
      </c>
      <c r="T563" s="4">
        <v>0.35399999999999998</v>
      </c>
      <c r="U563" s="4">
        <v>0.504</v>
      </c>
      <c r="V563" s="4">
        <v>0.4</v>
      </c>
      <c r="W563" s="4">
        <v>0.61499999999999999</v>
      </c>
      <c r="X563" s="4">
        <v>0.32100000000000001</v>
      </c>
      <c r="Y563" s="4">
        <v>0.40799999999999997</v>
      </c>
      <c r="Z563" s="4">
        <v>0.44500000000000001</v>
      </c>
      <c r="AA563" s="3"/>
      <c r="AB563" s="4">
        <v>0.104</v>
      </c>
      <c r="AC563" s="4">
        <v>6.8199999999999997E-2</v>
      </c>
      <c r="AD563" s="4">
        <v>0.108</v>
      </c>
      <c r="AE563" s="4">
        <v>0.14000000000000001</v>
      </c>
      <c r="AF563" s="3"/>
      <c r="AG563" s="3"/>
      <c r="AH563" s="4">
        <v>0.32</v>
      </c>
      <c r="AI563" s="4">
        <v>0.371</v>
      </c>
      <c r="AJ563" s="4">
        <v>0.28199999999999997</v>
      </c>
      <c r="AK563" s="4">
        <v>0.26</v>
      </c>
      <c r="AL563" s="4">
        <v>6.3700000000000007E-2</v>
      </c>
      <c r="AM563" s="3"/>
      <c r="AN563" s="4">
        <v>0.25900000000000001</v>
      </c>
      <c r="AO563" s="4">
        <v>0.11700000000000001</v>
      </c>
      <c r="AP563" s="78">
        <v>45.2</v>
      </c>
    </row>
    <row r="564" spans="1:45">
      <c r="A564" s="9" t="s">
        <v>321</v>
      </c>
      <c r="B564" s="2">
        <v>0.82</v>
      </c>
      <c r="C564" s="2">
        <v>0.3</v>
      </c>
      <c r="D564" s="2">
        <v>0.17499999999999999</v>
      </c>
      <c r="E564" s="2">
        <v>0.113</v>
      </c>
      <c r="F564" s="2">
        <v>0.28599999999999998</v>
      </c>
      <c r="G564" s="2">
        <v>0.247</v>
      </c>
      <c r="H564" s="2">
        <v>0.748</v>
      </c>
      <c r="I564" s="2">
        <v>0.98299999999999998</v>
      </c>
      <c r="J564" s="2">
        <v>1.19</v>
      </c>
      <c r="K564" s="2">
        <v>0.52300000000000002</v>
      </c>
      <c r="L564" s="2">
        <v>0.68300000000000005</v>
      </c>
      <c r="M564" s="2">
        <v>0.69199999999999995</v>
      </c>
      <c r="N564" s="2">
        <v>0.214</v>
      </c>
      <c r="O564" s="2">
        <v>0.35699999999999998</v>
      </c>
      <c r="P564" s="2">
        <v>0.86</v>
      </c>
      <c r="Q564" s="2">
        <v>0.32700000000000001</v>
      </c>
      <c r="R564" s="2">
        <v>0.129</v>
      </c>
      <c r="S564" s="2">
        <v>0.872</v>
      </c>
      <c r="T564" s="2">
        <v>0.69799999999999995</v>
      </c>
      <c r="U564" s="2">
        <v>1.28</v>
      </c>
      <c r="V564" s="2">
        <v>1.0900000000000001</v>
      </c>
      <c r="W564" s="2">
        <v>1.81</v>
      </c>
      <c r="X564" s="2">
        <v>0.85199999999999998</v>
      </c>
      <c r="Y564" s="2">
        <v>1.18</v>
      </c>
      <c r="Z564" s="2">
        <v>1.17</v>
      </c>
      <c r="AA564" s="5"/>
      <c r="AB564" s="2">
        <v>0.22800000000000001</v>
      </c>
      <c r="AC564" s="2">
        <v>0.16500000000000001</v>
      </c>
      <c r="AD564" s="2">
        <v>0.20799999999999999</v>
      </c>
      <c r="AE564" s="2">
        <v>0.30499999999999999</v>
      </c>
      <c r="AF564" s="5"/>
      <c r="AG564" s="5"/>
      <c r="AH564" s="2">
        <v>0.84599999999999997</v>
      </c>
      <c r="AI564" s="2">
        <v>0.88800000000000001</v>
      </c>
      <c r="AJ564" s="2">
        <v>0.66300000000000003</v>
      </c>
      <c r="AK564" s="2">
        <v>0.64800000000000002</v>
      </c>
      <c r="AL564" s="2">
        <v>0.13400000000000001</v>
      </c>
      <c r="AM564" s="5"/>
      <c r="AN564" s="2">
        <v>0.63600000000000001</v>
      </c>
      <c r="AO564" s="2">
        <v>0.3</v>
      </c>
      <c r="AP564" s="79">
        <v>47.2</v>
      </c>
    </row>
    <row r="565" spans="1:45">
      <c r="A565" s="9" t="s">
        <v>322</v>
      </c>
      <c r="B565" s="4">
        <v>2.1100000000000001E-2</v>
      </c>
      <c r="C565" s="4">
        <v>2.76E-2</v>
      </c>
      <c r="D565" s="4">
        <v>2.2499999999999999E-2</v>
      </c>
      <c r="E565" s="4">
        <v>2.97E-3</v>
      </c>
      <c r="F565" s="4">
        <v>1.9E-2</v>
      </c>
      <c r="G565" s="4">
        <v>3.15E-3</v>
      </c>
      <c r="H565" s="4">
        <v>7.2599999999999998E-2</v>
      </c>
      <c r="I565" s="4">
        <v>8.7900000000000006E-2</v>
      </c>
      <c r="J565" s="4">
        <v>6.8699999999999997E-2</v>
      </c>
      <c r="K565" s="4">
        <v>2.7900000000000001E-2</v>
      </c>
      <c r="L565" s="4">
        <v>7.8E-2</v>
      </c>
      <c r="M565" s="4">
        <v>2.1999999999999999E-2</v>
      </c>
      <c r="N565" s="4">
        <v>7.9699999999999997E-3</v>
      </c>
      <c r="O565" s="4">
        <v>1.3100000000000001E-2</v>
      </c>
      <c r="P565" s="4">
        <v>2.2800000000000001E-2</v>
      </c>
      <c r="Q565" s="4">
        <v>6.0099999999999997E-3</v>
      </c>
      <c r="R565" s="4">
        <v>4.5799999999999999E-3</v>
      </c>
      <c r="S565" s="4">
        <v>8.5999999999999993E-2</v>
      </c>
      <c r="T565" s="4">
        <v>3.9600000000000003E-2</v>
      </c>
      <c r="U565" s="4">
        <v>0.13500000000000001</v>
      </c>
      <c r="V565" s="4">
        <v>0.10299999999999999</v>
      </c>
      <c r="W565" s="4">
        <v>0.123</v>
      </c>
      <c r="X565" s="4">
        <v>6.88E-2</v>
      </c>
      <c r="Y565" s="4">
        <v>8.5000000000000006E-2</v>
      </c>
      <c r="Z565" s="4">
        <v>9.35E-2</v>
      </c>
      <c r="AA565" s="3"/>
      <c r="AB565" s="4">
        <v>9.8899999999999995E-3</v>
      </c>
      <c r="AC565" s="4">
        <v>3.7299999999999998E-3</v>
      </c>
      <c r="AD565" s="4">
        <v>4.9899999999999996E-3</v>
      </c>
      <c r="AE565" s="4">
        <v>6.2199999999999998E-2</v>
      </c>
      <c r="AF565" s="3"/>
      <c r="AG565" s="3"/>
      <c r="AH565" s="4">
        <v>7.5600000000000001E-2</v>
      </c>
      <c r="AI565" s="4">
        <v>2.4799999999999999E-2</v>
      </c>
      <c r="AJ565" s="4">
        <v>5.8799999999999998E-2</v>
      </c>
      <c r="AK565" s="4">
        <v>3.9300000000000002E-2</v>
      </c>
      <c r="AL565" s="4">
        <v>2.9199999999999999E-3</v>
      </c>
      <c r="AM565" s="3"/>
      <c r="AN565" s="4">
        <v>4.0300000000000002E-2</v>
      </c>
      <c r="AO565" s="4">
        <v>2.8400000000000002E-2</v>
      </c>
      <c r="AP565" s="78">
        <v>70.5</v>
      </c>
    </row>
    <row r="566" spans="1:45">
      <c r="A566" s="9" t="s">
        <v>323</v>
      </c>
      <c r="B566" s="2">
        <v>1.63</v>
      </c>
      <c r="C566" s="2">
        <v>0.60199999999999998</v>
      </c>
      <c r="D566" s="2">
        <v>0.39200000000000002</v>
      </c>
      <c r="E566" s="2">
        <v>0.2</v>
      </c>
      <c r="F566" s="2">
        <v>0.48299999999999998</v>
      </c>
      <c r="G566" s="2">
        <v>0.224</v>
      </c>
      <c r="H566" s="2">
        <v>1.56</v>
      </c>
      <c r="I566" s="2">
        <v>1.92</v>
      </c>
      <c r="J566" s="2">
        <v>1.68</v>
      </c>
      <c r="K566" s="2">
        <v>1.1499999999999999</v>
      </c>
      <c r="L566" s="2">
        <v>1.82</v>
      </c>
      <c r="M566" s="2">
        <v>1.55</v>
      </c>
      <c r="N566" s="2">
        <v>0.48399999999999999</v>
      </c>
      <c r="O566" s="2">
        <v>0.80700000000000005</v>
      </c>
      <c r="P566" s="2">
        <v>1.63</v>
      </c>
      <c r="Q566" s="2">
        <v>0.374</v>
      </c>
      <c r="R566" s="2">
        <v>0.29199999999999998</v>
      </c>
      <c r="S566" s="2">
        <v>1.73</v>
      </c>
      <c r="T566" s="2">
        <v>0.78100000000000003</v>
      </c>
      <c r="U566" s="2">
        <v>2.48</v>
      </c>
      <c r="V566" s="2">
        <v>1.76</v>
      </c>
      <c r="W566" s="2">
        <v>2.36</v>
      </c>
      <c r="X566" s="2">
        <v>1.25</v>
      </c>
      <c r="Y566" s="2">
        <v>1.4</v>
      </c>
      <c r="Z566" s="2">
        <v>1.67</v>
      </c>
      <c r="AA566" s="5"/>
      <c r="AB566" s="2">
        <v>0.33200000000000002</v>
      </c>
      <c r="AC566" s="2">
        <v>0.27800000000000002</v>
      </c>
      <c r="AD566" s="2">
        <v>0.312</v>
      </c>
      <c r="AE566" s="2">
        <v>0.82799999999999996</v>
      </c>
      <c r="AF566" s="5"/>
      <c r="AG566" s="5"/>
      <c r="AH566" s="2">
        <v>1.26</v>
      </c>
      <c r="AI566" s="2">
        <v>1.95</v>
      </c>
      <c r="AJ566" s="2">
        <v>1.31</v>
      </c>
      <c r="AK566" s="2">
        <v>1.37</v>
      </c>
      <c r="AL566" s="2">
        <v>0.26300000000000001</v>
      </c>
      <c r="AM566" s="5"/>
      <c r="AN566" s="2">
        <v>1.23</v>
      </c>
      <c r="AO566" s="2">
        <v>0.60899999999999999</v>
      </c>
      <c r="AP566" s="79">
        <v>49.4</v>
      </c>
      <c r="AQ566">
        <f>STDEV(B566:AP566)</f>
        <v>7.9658516198853482</v>
      </c>
      <c r="AR566" s="80">
        <f>AVERAGE(B566:AP566)</f>
        <v>2.4154324324324321</v>
      </c>
      <c r="AS566" s="80">
        <f>AQ566/AR566</f>
        <v>3.2978987583864781</v>
      </c>
    </row>
    <row r="567" spans="1:45">
      <c r="A567" s="9" t="s">
        <v>324</v>
      </c>
      <c r="B567" s="4">
        <v>0.26400000000000001</v>
      </c>
      <c r="C567" s="4">
        <v>9.7100000000000006E-2</v>
      </c>
      <c r="D567" s="4">
        <v>6.3100000000000003E-2</v>
      </c>
      <c r="E567" s="4">
        <v>2.9499999999999998E-2</v>
      </c>
      <c r="F567" s="4">
        <v>7.8899999999999998E-2</v>
      </c>
      <c r="G567" s="4">
        <v>3.9699999999999999E-2</v>
      </c>
      <c r="H567" s="4">
        <v>0.24199999999999999</v>
      </c>
      <c r="I567" s="4">
        <v>0.30199999999999999</v>
      </c>
      <c r="J567" s="4">
        <v>0.26400000000000001</v>
      </c>
      <c r="K567" s="4">
        <v>0.189</v>
      </c>
      <c r="L567" s="4">
        <v>0.28799999999999998</v>
      </c>
      <c r="M567" s="4">
        <v>0.247</v>
      </c>
      <c r="N567" s="4">
        <v>7.4899999999999994E-2</v>
      </c>
      <c r="O567" s="4">
        <v>0.125</v>
      </c>
      <c r="P567" s="4">
        <v>0.25600000000000001</v>
      </c>
      <c r="Q567" s="4">
        <v>6.4000000000000001E-2</v>
      </c>
      <c r="R567" s="4">
        <v>5.2200000000000003E-2</v>
      </c>
      <c r="S567" s="4">
        <v>0.26800000000000002</v>
      </c>
      <c r="T567" s="4">
        <v>0.14000000000000001</v>
      </c>
      <c r="U567" s="4">
        <v>0.47299999999999998</v>
      </c>
      <c r="V567" s="4">
        <v>0.31</v>
      </c>
      <c r="W567" s="4">
        <v>0.40400000000000003</v>
      </c>
      <c r="X567" s="4">
        <v>0.185</v>
      </c>
      <c r="Y567" s="4">
        <v>0.24199999999999999</v>
      </c>
      <c r="Z567" s="4">
        <v>0.253</v>
      </c>
      <c r="AA567" s="3"/>
      <c r="AB567" s="4">
        <v>5.3400000000000003E-2</v>
      </c>
      <c r="AC567" s="4">
        <v>4.48E-2</v>
      </c>
      <c r="AD567" s="4">
        <v>4.9399999999999999E-2</v>
      </c>
      <c r="AE567" s="4">
        <v>0.13500000000000001</v>
      </c>
      <c r="AF567" s="3"/>
      <c r="AG567" s="3"/>
      <c r="AH567" s="4">
        <v>0.21</v>
      </c>
      <c r="AI567" s="4">
        <v>0.314</v>
      </c>
      <c r="AJ567" s="4">
        <v>0.20699999999999999</v>
      </c>
      <c r="AK567" s="4">
        <v>0.214</v>
      </c>
      <c r="AL567" s="4">
        <v>4.3299999999999998E-2</v>
      </c>
      <c r="AM567" s="3"/>
      <c r="AN567" s="4">
        <v>0.19800000000000001</v>
      </c>
      <c r="AO567" s="4">
        <v>9.74E-2</v>
      </c>
      <c r="AP567" s="78">
        <v>49.2</v>
      </c>
    </row>
    <row r="568" spans="1:45">
      <c r="A568" s="9" t="s">
        <v>325</v>
      </c>
      <c r="B568" s="2">
        <v>0.55600000000000005</v>
      </c>
      <c r="C568" s="2">
        <v>0.29199999999999998</v>
      </c>
      <c r="D568" s="2">
        <v>0.158</v>
      </c>
      <c r="E568" s="2">
        <v>9.6199999999999994E-2</v>
      </c>
      <c r="F568" s="2">
        <v>0.38</v>
      </c>
      <c r="G568" s="2">
        <v>8.9200000000000002E-2</v>
      </c>
      <c r="H568" s="2">
        <v>0.68</v>
      </c>
      <c r="I568" s="2">
        <v>0.81399999999999995</v>
      </c>
      <c r="J568" s="2">
        <v>0.64700000000000002</v>
      </c>
      <c r="K568" s="2">
        <v>0.59899999999999998</v>
      </c>
      <c r="L568" s="2">
        <v>0.74399999999999999</v>
      </c>
      <c r="M568" s="2">
        <v>0.61</v>
      </c>
      <c r="N568" s="2">
        <v>0.24</v>
      </c>
      <c r="O568" s="2">
        <v>0.317</v>
      </c>
      <c r="P568" s="2">
        <v>0.53700000000000003</v>
      </c>
      <c r="Q568" s="2">
        <v>0.16500000000000001</v>
      </c>
      <c r="R568" s="2">
        <v>0.13100000000000001</v>
      </c>
      <c r="S568" s="2">
        <v>0.73599999999999999</v>
      </c>
      <c r="T568" s="2">
        <v>0.48299999999999998</v>
      </c>
      <c r="U568" s="2">
        <v>1.2</v>
      </c>
      <c r="V568" s="2">
        <v>1.1000000000000001</v>
      </c>
      <c r="W568" s="2">
        <v>0.82199999999999995</v>
      </c>
      <c r="X568" s="2">
        <v>0.495</v>
      </c>
      <c r="Y568" s="2">
        <v>0.59599999999999997</v>
      </c>
      <c r="Z568" s="2">
        <v>0.67600000000000005</v>
      </c>
      <c r="AA568" s="5"/>
      <c r="AB568" s="2">
        <v>0.14499999999999999</v>
      </c>
      <c r="AC568" s="2">
        <v>0.14899999999999999</v>
      </c>
      <c r="AD568" s="2">
        <v>0.14699999999999999</v>
      </c>
      <c r="AE568" s="2">
        <v>0.83099999999999996</v>
      </c>
      <c r="AF568" s="5"/>
      <c r="AG568" s="5"/>
      <c r="AH568" s="2">
        <v>0.67700000000000005</v>
      </c>
      <c r="AI568" s="2">
        <v>0.89200000000000002</v>
      </c>
      <c r="AJ568" s="2">
        <v>0.58899999999999997</v>
      </c>
      <c r="AK568" s="2">
        <v>0.85199999999999998</v>
      </c>
      <c r="AL568" s="2">
        <v>0.126</v>
      </c>
      <c r="AM568" s="5"/>
      <c r="AN568" s="2">
        <v>0.627</v>
      </c>
      <c r="AO568" s="2">
        <v>0.307</v>
      </c>
      <c r="AP568" s="79">
        <v>48.9</v>
      </c>
    </row>
    <row r="569" spans="1:45">
      <c r="A569" s="9" t="s">
        <v>326</v>
      </c>
      <c r="B569" s="4">
        <v>1.2800000000000001E-2</v>
      </c>
      <c r="C569" s="4">
        <v>1.04E-2</v>
      </c>
      <c r="D569" s="3"/>
      <c r="E569" s="4">
        <v>7.3400000000000002E-3</v>
      </c>
      <c r="F569" s="4">
        <v>3.8800000000000001E-2</v>
      </c>
      <c r="G569" s="4">
        <v>4.2900000000000004E-3</v>
      </c>
      <c r="H569" s="4">
        <v>2.5000000000000001E-2</v>
      </c>
      <c r="I569" s="4">
        <v>2.23E-2</v>
      </c>
      <c r="J569" s="4">
        <v>2.87E-2</v>
      </c>
      <c r="K569" s="4">
        <v>1.83E-2</v>
      </c>
      <c r="L569" s="4">
        <v>2.7199999999999998E-2</v>
      </c>
      <c r="M569" s="4">
        <v>4.7499999999999999E-3</v>
      </c>
      <c r="N569" s="4">
        <v>1.82E-3</v>
      </c>
      <c r="O569" s="4">
        <v>3.15E-3</v>
      </c>
      <c r="P569" s="4">
        <v>8.5299999999999994E-3</v>
      </c>
      <c r="Q569" s="4">
        <v>6.8999999999999999E-3</v>
      </c>
      <c r="R569" s="4">
        <v>2.0400000000000001E-3</v>
      </c>
      <c r="S569" s="4">
        <v>3.4299999999999997E-2</v>
      </c>
      <c r="T569" s="4">
        <v>4.1200000000000001E-2</v>
      </c>
      <c r="U569" s="4">
        <v>5.3100000000000001E-2</v>
      </c>
      <c r="V569" s="4">
        <v>3.4200000000000001E-2</v>
      </c>
      <c r="W569" s="4">
        <v>2.41E-2</v>
      </c>
      <c r="X569" s="4">
        <v>1.9900000000000001E-2</v>
      </c>
      <c r="Y569" s="4">
        <v>2.98E-2</v>
      </c>
      <c r="Z569" s="4">
        <v>2.3300000000000001E-2</v>
      </c>
      <c r="AA569" s="3"/>
      <c r="AB569" s="4">
        <v>9.1500000000000001E-3</v>
      </c>
      <c r="AC569" s="4">
        <v>2.0400000000000001E-3</v>
      </c>
      <c r="AD569" s="4">
        <v>3.1800000000000001E-3</v>
      </c>
      <c r="AE569" s="4">
        <v>3.73E-2</v>
      </c>
      <c r="AF569" s="3"/>
      <c r="AG569" s="3"/>
      <c r="AH569" s="4">
        <v>2.2100000000000002E-2</v>
      </c>
      <c r="AI569" s="4">
        <v>6.2399999999999999E-3</v>
      </c>
      <c r="AJ569" s="4">
        <v>2.6200000000000001E-2</v>
      </c>
      <c r="AK569" s="4">
        <v>1.95E-2</v>
      </c>
      <c r="AL569" s="4">
        <v>2.0400000000000001E-3</v>
      </c>
      <c r="AM569" s="3"/>
      <c r="AN569" s="4">
        <v>1.52E-2</v>
      </c>
      <c r="AO569" s="4">
        <v>1.0500000000000001E-2</v>
      </c>
      <c r="AP569" s="78">
        <v>69</v>
      </c>
    </row>
    <row r="570" spans="1:45">
      <c r="A570" s="9" t="s">
        <v>327</v>
      </c>
      <c r="B570" s="2">
        <v>0.24399999999999999</v>
      </c>
      <c r="C570" s="2">
        <v>0.753</v>
      </c>
      <c r="D570" s="2">
        <v>1.15E-2</v>
      </c>
      <c r="E570" s="2">
        <v>1.9900000000000001E-2</v>
      </c>
      <c r="F570" s="2">
        <v>1.32</v>
      </c>
      <c r="G570" s="2">
        <v>6.2799999999999995E-2</v>
      </c>
      <c r="H570" s="2">
        <v>2.13</v>
      </c>
      <c r="I570" s="2">
        <v>2.15</v>
      </c>
      <c r="J570" s="2">
        <v>2.46</v>
      </c>
      <c r="K570" s="2">
        <v>0.874</v>
      </c>
      <c r="L570" s="2">
        <v>1.6</v>
      </c>
      <c r="M570" s="2">
        <v>9.6199999999999994E-2</v>
      </c>
      <c r="N570" s="2">
        <v>3.27E-2</v>
      </c>
      <c r="O570" s="2">
        <v>5.0900000000000001E-2</v>
      </c>
      <c r="P570" s="2">
        <v>0.30399999999999999</v>
      </c>
      <c r="Q570" s="2">
        <v>8.2000000000000003E-2</v>
      </c>
      <c r="R570" s="2">
        <v>3.7199999999999997E-2</v>
      </c>
      <c r="S570" s="2">
        <v>2.5499999999999998</v>
      </c>
      <c r="T570" s="2">
        <v>2.62</v>
      </c>
      <c r="U570" s="2">
        <v>2.14</v>
      </c>
      <c r="V570" s="2">
        <v>1.88</v>
      </c>
      <c r="W570" s="2">
        <v>1.66</v>
      </c>
      <c r="X570" s="2">
        <v>1.44</v>
      </c>
      <c r="Y570" s="2">
        <v>2.27</v>
      </c>
      <c r="Z570" s="2">
        <v>1.92</v>
      </c>
      <c r="AA570" s="5"/>
      <c r="AB570" s="2">
        <v>0.30599999999999999</v>
      </c>
      <c r="AC570" s="2">
        <v>0.185</v>
      </c>
      <c r="AD570" s="2">
        <v>0.309</v>
      </c>
      <c r="AE570" s="2">
        <v>2.5</v>
      </c>
      <c r="AF570" s="5"/>
      <c r="AG570" s="5"/>
      <c r="AH570" s="2">
        <v>1.64</v>
      </c>
      <c r="AI570" s="2">
        <v>0.21199999999999999</v>
      </c>
      <c r="AJ570" s="2">
        <v>1.91</v>
      </c>
      <c r="AK570" s="2">
        <v>0.9</v>
      </c>
      <c r="AL570" s="2">
        <v>5.0200000000000002E-2</v>
      </c>
      <c r="AM570" s="5"/>
      <c r="AN570" s="2">
        <v>0.94199999999999995</v>
      </c>
      <c r="AO570" s="2">
        <v>0.83</v>
      </c>
      <c r="AP570" s="79">
        <v>88</v>
      </c>
    </row>
    <row r="571" spans="1:45">
      <c r="A571" s="9" t="s">
        <v>328</v>
      </c>
      <c r="B571" s="4">
        <v>5.4199999999999998E-2</v>
      </c>
      <c r="C571" s="4">
        <v>2.4899999999999999E-2</v>
      </c>
      <c r="D571" s="4">
        <v>5.3299999999999997E-3</v>
      </c>
      <c r="E571" s="4">
        <v>1.3299999999999999E-2</v>
      </c>
      <c r="F571" s="4">
        <v>0.11700000000000001</v>
      </c>
      <c r="G571" s="4">
        <v>1.52E-2</v>
      </c>
      <c r="H571" s="4">
        <v>0.105</v>
      </c>
      <c r="I571" s="4">
        <v>9.6100000000000005E-2</v>
      </c>
      <c r="J571" s="4">
        <v>0.13900000000000001</v>
      </c>
      <c r="K571" s="4">
        <v>5.5399999999999998E-2</v>
      </c>
      <c r="L571" s="4">
        <v>9.2200000000000004E-2</v>
      </c>
      <c r="M571" s="4">
        <v>4.1099999999999998E-2</v>
      </c>
      <c r="N571" s="4">
        <v>9.7800000000000005E-3</v>
      </c>
      <c r="O571" s="4">
        <v>1.7100000000000001E-2</v>
      </c>
      <c r="P571" s="4">
        <v>7.6300000000000007E-2</v>
      </c>
      <c r="Q571" s="4">
        <v>2.47E-2</v>
      </c>
      <c r="R571" s="4">
        <v>8.2199999999999999E-3</v>
      </c>
      <c r="S571" s="4">
        <v>0.17499999999999999</v>
      </c>
      <c r="T571" s="4">
        <v>8.2600000000000007E-2</v>
      </c>
      <c r="U571" s="4">
        <v>0.191</v>
      </c>
      <c r="V571" s="4">
        <v>0.14199999999999999</v>
      </c>
      <c r="W571" s="4">
        <v>0.14299999999999999</v>
      </c>
      <c r="X571" s="4">
        <v>8.7999999999999995E-2</v>
      </c>
      <c r="Y571" s="4">
        <v>0.156</v>
      </c>
      <c r="Z571" s="4">
        <v>0.124</v>
      </c>
      <c r="AA571" s="3"/>
      <c r="AB571" s="4">
        <v>3.7100000000000001E-2</v>
      </c>
      <c r="AC571" s="4">
        <v>1.15E-2</v>
      </c>
      <c r="AD571" s="4">
        <v>1.6199999999999999E-2</v>
      </c>
      <c r="AE571" s="4">
        <v>8.5800000000000001E-2</v>
      </c>
      <c r="AF571" s="3"/>
      <c r="AG571" s="3"/>
      <c r="AH571" s="4">
        <v>0.115</v>
      </c>
      <c r="AI571" s="4">
        <v>6.6400000000000001E-2</v>
      </c>
      <c r="AJ571" s="4">
        <v>8.3400000000000002E-2</v>
      </c>
      <c r="AK571" s="4">
        <v>7.2700000000000001E-2</v>
      </c>
      <c r="AL571" s="4">
        <v>8.3899999999999999E-3</v>
      </c>
      <c r="AM571" s="3"/>
      <c r="AN571" s="4">
        <v>6.9199999999999998E-2</v>
      </c>
      <c r="AO571" s="4">
        <v>3.8800000000000001E-2</v>
      </c>
      <c r="AP571" s="78">
        <v>56.1</v>
      </c>
    </row>
    <row r="572" spans="1:45">
      <c r="A572" s="9" t="s">
        <v>329</v>
      </c>
      <c r="B572" s="5"/>
      <c r="C572" s="2">
        <v>5.2399999999999999E-3</v>
      </c>
      <c r="D572" s="5"/>
      <c r="E572" s="5"/>
      <c r="F572" s="2">
        <v>2.3199999999999998E-2</v>
      </c>
      <c r="G572" s="5"/>
      <c r="H572" s="2">
        <v>1.0200000000000001E-2</v>
      </c>
      <c r="I572" s="2">
        <v>6.6600000000000001E-3</v>
      </c>
      <c r="J572" s="2">
        <v>9.2999999999999992E-3</v>
      </c>
      <c r="K572" s="2">
        <v>1.17E-2</v>
      </c>
      <c r="L572" s="2">
        <v>6.94E-3</v>
      </c>
      <c r="M572" s="5"/>
      <c r="N572" s="5"/>
      <c r="O572" s="5"/>
      <c r="P572" s="2">
        <v>6.3E-3</v>
      </c>
      <c r="Q572" s="5"/>
      <c r="R572" s="5"/>
      <c r="S572" s="2">
        <v>2.0299999999999999E-2</v>
      </c>
      <c r="T572" s="2">
        <v>1.09E-2</v>
      </c>
      <c r="U572" s="2">
        <v>2.2100000000000002E-2</v>
      </c>
      <c r="V572" s="2">
        <v>2.1000000000000001E-2</v>
      </c>
      <c r="W572" s="2">
        <v>1.2200000000000001E-2</v>
      </c>
      <c r="X572" s="2">
        <v>1.2200000000000001E-2</v>
      </c>
      <c r="Y572" s="2">
        <v>1.5299999999999999E-2</v>
      </c>
      <c r="Z572" s="2">
        <v>1.44E-2</v>
      </c>
      <c r="AA572" s="5"/>
      <c r="AB572" s="5"/>
      <c r="AC572" s="5"/>
      <c r="AD572" s="5"/>
      <c r="AE572" s="5"/>
      <c r="AF572" s="5"/>
      <c r="AG572" s="5"/>
      <c r="AH572" s="2">
        <v>1.26E-2</v>
      </c>
      <c r="AI572" s="5"/>
      <c r="AJ572" s="2">
        <v>7.1500000000000001E-3</v>
      </c>
      <c r="AK572" s="2">
        <v>1.83E-2</v>
      </c>
      <c r="AL572" s="5"/>
      <c r="AM572" s="5"/>
      <c r="AN572" s="2">
        <v>1.2699999999999999E-2</v>
      </c>
      <c r="AO572" s="2">
        <v>5.5799999999999999E-3</v>
      </c>
      <c r="AP572" s="79">
        <v>44</v>
      </c>
    </row>
    <row r="573" spans="1:45">
      <c r="A573" s="9" t="s">
        <v>759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4">
        <v>0</v>
      </c>
      <c r="AP573" s="68"/>
    </row>
    <row r="574" spans="1:45">
      <c r="A574" s="9" t="s">
        <v>330</v>
      </c>
      <c r="B574" s="2">
        <v>0.14599999999999999</v>
      </c>
      <c r="C574" s="2">
        <v>0.183</v>
      </c>
      <c r="D574" s="2">
        <v>0.217</v>
      </c>
      <c r="E574" s="2">
        <v>1.34E-2</v>
      </c>
      <c r="F574" s="2">
        <v>0.56899999999999995</v>
      </c>
      <c r="G574" s="2">
        <v>4.4900000000000002E-2</v>
      </c>
      <c r="H574" s="2">
        <v>0.61399999999999999</v>
      </c>
      <c r="I574" s="2">
        <v>0.628</v>
      </c>
      <c r="J574" s="2">
        <v>0.81799999999999995</v>
      </c>
      <c r="K574" s="2">
        <v>0.32600000000000001</v>
      </c>
      <c r="L574" s="2">
        <v>0.44</v>
      </c>
      <c r="M574" s="2">
        <v>9.8299999999999998E-2</v>
      </c>
      <c r="N574" s="2">
        <v>1.6799999999999999E-2</v>
      </c>
      <c r="O574" s="2">
        <v>4.36E-2</v>
      </c>
      <c r="P574" s="2">
        <v>0.187</v>
      </c>
      <c r="Q574" s="2">
        <v>7.1999999999999995E-2</v>
      </c>
      <c r="R574" s="2">
        <v>2.0799999999999999E-2</v>
      </c>
      <c r="S574" s="2">
        <v>0.64100000000000001</v>
      </c>
      <c r="T574" s="2">
        <v>0.25900000000000001</v>
      </c>
      <c r="U574" s="2">
        <v>0.73799999999999999</v>
      </c>
      <c r="V574" s="2">
        <v>0.54600000000000004</v>
      </c>
      <c r="W574" s="2">
        <v>0.57599999999999996</v>
      </c>
      <c r="X574" s="2">
        <v>0.42399999999999999</v>
      </c>
      <c r="Y574" s="2">
        <v>0.73799999999999999</v>
      </c>
      <c r="Z574" s="2">
        <v>0.57099999999999995</v>
      </c>
      <c r="AA574" s="5"/>
      <c r="AB574" s="2">
        <v>0.154</v>
      </c>
      <c r="AC574" s="2">
        <v>8.5000000000000006E-2</v>
      </c>
      <c r="AD574" s="2">
        <v>0.13200000000000001</v>
      </c>
      <c r="AE574" s="2">
        <v>0.57999999999999996</v>
      </c>
      <c r="AF574" s="5"/>
      <c r="AG574" s="5"/>
      <c r="AH574" s="2">
        <v>0.56999999999999995</v>
      </c>
      <c r="AI574" s="2">
        <v>0.14199999999999999</v>
      </c>
      <c r="AJ574" s="2">
        <v>0.54200000000000004</v>
      </c>
      <c r="AK574" s="2">
        <v>0.32400000000000001</v>
      </c>
      <c r="AL574" s="2">
        <v>3.78E-2</v>
      </c>
      <c r="AM574" s="5"/>
      <c r="AN574" s="2">
        <v>0.32300000000000001</v>
      </c>
      <c r="AO574" s="2">
        <v>0.23599999999999999</v>
      </c>
      <c r="AP574" s="79">
        <v>73</v>
      </c>
    </row>
    <row r="575" spans="1:45">
      <c r="A575" s="9" t="s">
        <v>331</v>
      </c>
      <c r="B575" s="4">
        <v>2.1299999999999999E-2</v>
      </c>
      <c r="C575" s="4">
        <v>8.9499999999999996E-2</v>
      </c>
      <c r="D575" s="4">
        <v>2.9700000000000001E-2</v>
      </c>
      <c r="E575" s="3"/>
      <c r="F575" s="3"/>
      <c r="G575" s="4">
        <v>0.26200000000000001</v>
      </c>
      <c r="H575" s="4">
        <v>0.17499999999999999</v>
      </c>
      <c r="I575" s="4">
        <v>0.154</v>
      </c>
      <c r="J575" s="4">
        <v>0.20699999999999999</v>
      </c>
      <c r="K575" s="3"/>
      <c r="L575" s="4">
        <v>0.17799999999999999</v>
      </c>
      <c r="M575" s="4">
        <v>1.18E-2</v>
      </c>
      <c r="N575" s="4">
        <v>3.8500000000000001E-3</v>
      </c>
      <c r="O575" s="4">
        <v>1.0800000000000001E-2</v>
      </c>
      <c r="P575" s="4">
        <v>1.7600000000000001E-2</v>
      </c>
      <c r="Q575" s="3"/>
      <c r="R575" s="4">
        <v>0.214</v>
      </c>
      <c r="S575" s="4">
        <v>8.72E-2</v>
      </c>
      <c r="T575" s="3"/>
      <c r="U575" s="3"/>
      <c r="V575" s="3"/>
      <c r="W575" s="4">
        <v>0.114</v>
      </c>
      <c r="X575" s="4">
        <v>1.5900000000000001E-2</v>
      </c>
      <c r="Y575" s="4">
        <v>4.99E-2</v>
      </c>
      <c r="Z575" s="4">
        <v>2.18E-2</v>
      </c>
      <c r="AA575" s="3"/>
      <c r="AB575" s="4">
        <v>0.13</v>
      </c>
      <c r="AC575" s="4">
        <v>2.1499999999999998E-2</v>
      </c>
      <c r="AD575" s="4">
        <v>0.25600000000000001</v>
      </c>
      <c r="AE575" s="3"/>
      <c r="AF575" s="3"/>
      <c r="AG575" s="3"/>
      <c r="AH575" s="4">
        <v>7.6200000000000004E-2</v>
      </c>
      <c r="AI575" s="4">
        <v>1.0699999999999999E-2</v>
      </c>
      <c r="AJ575" s="4">
        <v>0.16900000000000001</v>
      </c>
      <c r="AK575" s="3"/>
      <c r="AL575" s="4">
        <v>0.09</v>
      </c>
      <c r="AM575" s="3"/>
      <c r="AN575" s="4">
        <v>8.6599999999999996E-2</v>
      </c>
      <c r="AO575" s="4">
        <v>6.5199999999999994E-2</v>
      </c>
      <c r="AP575" s="78">
        <v>75.3</v>
      </c>
    </row>
    <row r="576" spans="1:45">
      <c r="A576" s="9" t="s">
        <v>332</v>
      </c>
      <c r="B576" s="2">
        <v>0.62</v>
      </c>
      <c r="C576" s="2">
        <v>0.51800000000000002</v>
      </c>
      <c r="D576" s="2">
        <v>0.51200000000000001</v>
      </c>
      <c r="E576" s="2">
        <v>0.68400000000000005</v>
      </c>
      <c r="F576" s="2">
        <v>1.21</v>
      </c>
      <c r="G576" s="2">
        <v>0.36599999999999999</v>
      </c>
      <c r="H576" s="2">
        <v>0.94099999999999995</v>
      </c>
      <c r="I576" s="2">
        <v>0.82399999999999995</v>
      </c>
      <c r="J576" s="2">
        <v>0.92800000000000005</v>
      </c>
      <c r="K576" s="2">
        <v>1.1000000000000001</v>
      </c>
      <c r="L576" s="2">
        <v>0.79100000000000004</v>
      </c>
      <c r="M576" s="2">
        <v>0.61199999999999999</v>
      </c>
      <c r="N576" s="2">
        <v>0.35899999999999999</v>
      </c>
      <c r="O576" s="2">
        <v>0.48399999999999999</v>
      </c>
      <c r="P576" s="2">
        <v>0.60599999999999998</v>
      </c>
      <c r="Q576" s="2">
        <v>1.01</v>
      </c>
      <c r="R576" s="2">
        <v>0.30299999999999999</v>
      </c>
      <c r="S576" s="2">
        <v>0.98499999999999999</v>
      </c>
      <c r="T576" s="2">
        <v>0.67300000000000004</v>
      </c>
      <c r="U576" s="2">
        <v>0.78800000000000003</v>
      </c>
      <c r="V576" s="2">
        <v>0.87</v>
      </c>
      <c r="W576" s="2">
        <v>0.74</v>
      </c>
      <c r="X576" s="2">
        <v>0.55700000000000005</v>
      </c>
      <c r="Y576" s="2">
        <v>0.59799999999999998</v>
      </c>
      <c r="Z576" s="2">
        <v>0.624</v>
      </c>
      <c r="AA576" s="5"/>
      <c r="AB576" s="2">
        <v>0.316</v>
      </c>
      <c r="AC576" s="2">
        <v>0.29599999999999999</v>
      </c>
      <c r="AD576" s="2">
        <v>0.40799999999999997</v>
      </c>
      <c r="AE576" s="2">
        <v>1.37</v>
      </c>
      <c r="AF576" s="5"/>
      <c r="AG576" s="5"/>
      <c r="AH576" s="2">
        <v>0.58499999999999996</v>
      </c>
      <c r="AI576" s="2">
        <v>0.76300000000000001</v>
      </c>
      <c r="AJ576" s="2">
        <v>0.79300000000000004</v>
      </c>
      <c r="AK576" s="2">
        <v>1.25</v>
      </c>
      <c r="AL576" s="2">
        <v>0.20899999999999999</v>
      </c>
      <c r="AM576" s="5"/>
      <c r="AN576" s="2">
        <v>0.72</v>
      </c>
      <c r="AO576" s="2">
        <v>0.377</v>
      </c>
      <c r="AP576" s="79">
        <v>52.4</v>
      </c>
    </row>
    <row r="577" spans="1:42">
      <c r="A577" s="9" t="s">
        <v>333</v>
      </c>
      <c r="B577" s="4">
        <v>0.13700000000000001</v>
      </c>
      <c r="C577" s="4">
        <v>0.126</v>
      </c>
      <c r="D577" s="4">
        <v>0.115</v>
      </c>
      <c r="E577" s="4">
        <v>9.4600000000000004E-2</v>
      </c>
      <c r="F577" s="4">
        <v>0.17199999999999999</v>
      </c>
      <c r="G577" s="4">
        <v>0.108</v>
      </c>
      <c r="H577" s="4">
        <v>0.23300000000000001</v>
      </c>
      <c r="I577" s="4">
        <v>0.193</v>
      </c>
      <c r="J577" s="4">
        <v>0.224</v>
      </c>
      <c r="K577" s="4">
        <v>0.154</v>
      </c>
      <c r="L577" s="4">
        <v>0.16900000000000001</v>
      </c>
      <c r="M577" s="4">
        <v>0.158</v>
      </c>
      <c r="N577" s="4">
        <v>9.0499999999999997E-2</v>
      </c>
      <c r="O577" s="4">
        <v>0.122</v>
      </c>
      <c r="P577" s="4">
        <v>0.16300000000000001</v>
      </c>
      <c r="Q577" s="4">
        <v>0.14099999999999999</v>
      </c>
      <c r="R577" s="4">
        <v>8.8700000000000001E-2</v>
      </c>
      <c r="S577" s="4">
        <v>0.20599999999999999</v>
      </c>
      <c r="T577" s="4">
        <v>0.14099999999999999</v>
      </c>
      <c r="U577" s="4">
        <v>0.157</v>
      </c>
      <c r="V577" s="4">
        <v>0.17100000000000001</v>
      </c>
      <c r="W577" s="4">
        <v>0.158</v>
      </c>
      <c r="X577" s="4">
        <v>0.14499999999999999</v>
      </c>
      <c r="Y577" s="4">
        <v>0.14599999999999999</v>
      </c>
      <c r="Z577" s="4">
        <v>0.14599999999999999</v>
      </c>
      <c r="AA577" s="3"/>
      <c r="AB577" s="4">
        <v>9.0700000000000003E-2</v>
      </c>
      <c r="AC577" s="4">
        <v>8.6599999999999996E-2</v>
      </c>
      <c r="AD577" s="4">
        <v>0.11700000000000001</v>
      </c>
      <c r="AE577" s="4">
        <v>0.187</v>
      </c>
      <c r="AF577" s="3"/>
      <c r="AG577" s="3"/>
      <c r="AH577" s="4">
        <v>0.14099999999999999</v>
      </c>
      <c r="AI577" s="4">
        <v>0.17199999999999999</v>
      </c>
      <c r="AJ577" s="4">
        <v>0.19400000000000001</v>
      </c>
      <c r="AK577" s="4">
        <v>0.17</v>
      </c>
      <c r="AL577" s="4">
        <v>5.9299999999999999E-2</v>
      </c>
      <c r="AM577" s="3"/>
      <c r="AN577" s="4">
        <v>0.14699999999999999</v>
      </c>
      <c r="AO577" s="4">
        <v>5.2699999999999997E-2</v>
      </c>
      <c r="AP577" s="78">
        <v>35.799999999999997</v>
      </c>
    </row>
    <row r="578" spans="1:42">
      <c r="A578" s="9" t="s">
        <v>334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2">
        <v>0.10199999999999999</v>
      </c>
      <c r="V578" s="2">
        <v>2.4500000000000001E-2</v>
      </c>
      <c r="W578" s="2">
        <v>0.224</v>
      </c>
      <c r="X578" s="2">
        <v>0.121</v>
      </c>
      <c r="Y578" s="2">
        <v>0.16600000000000001</v>
      </c>
      <c r="Z578" s="2">
        <v>0.15</v>
      </c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2">
        <v>0</v>
      </c>
      <c r="AP578" s="77"/>
    </row>
    <row r="579" spans="1:42">
      <c r="A579" s="9" t="s">
        <v>335</v>
      </c>
      <c r="B579" s="4">
        <v>9.3299999999999994E-2</v>
      </c>
      <c r="C579" s="4">
        <v>5.6300000000000003E-2</v>
      </c>
      <c r="D579" s="4">
        <v>6.7100000000000007E-2</v>
      </c>
      <c r="E579" s="4">
        <v>2.64E-2</v>
      </c>
      <c r="F579" s="4">
        <v>6.54E-2</v>
      </c>
      <c r="G579" s="4">
        <v>3.6999999999999998E-2</v>
      </c>
      <c r="H579" s="4">
        <v>0.16200000000000001</v>
      </c>
      <c r="I579" s="4">
        <v>0.16500000000000001</v>
      </c>
      <c r="J579" s="4">
        <v>0.17599999999999999</v>
      </c>
      <c r="K579" s="4">
        <v>6.9400000000000003E-2</v>
      </c>
      <c r="L579" s="4">
        <v>0.14099999999999999</v>
      </c>
      <c r="M579" s="4">
        <v>0.109</v>
      </c>
      <c r="N579" s="4">
        <v>2.58E-2</v>
      </c>
      <c r="O579" s="4">
        <v>3.8800000000000001E-2</v>
      </c>
      <c r="P579" s="4">
        <v>0.104</v>
      </c>
      <c r="Q579" s="4">
        <v>6.5500000000000003E-2</v>
      </c>
      <c r="R579" s="4">
        <v>5.2200000000000003E-2</v>
      </c>
      <c r="S579" s="4">
        <v>0.18099999999999999</v>
      </c>
      <c r="T579" s="4">
        <v>0.105</v>
      </c>
      <c r="U579" s="4">
        <v>0.185</v>
      </c>
      <c r="V579" s="4">
        <v>0.155</v>
      </c>
      <c r="W579" s="4">
        <v>0.11700000000000001</v>
      </c>
      <c r="X579" s="4">
        <v>6.7599999999999993E-2</v>
      </c>
      <c r="Y579" s="4">
        <v>0.13200000000000001</v>
      </c>
      <c r="Z579" s="4">
        <v>0.105</v>
      </c>
      <c r="AA579" s="3"/>
      <c r="AB579" s="4">
        <v>3.8899999999999997E-2</v>
      </c>
      <c r="AC579" s="4">
        <v>4.5999999999999999E-2</v>
      </c>
      <c r="AD579" s="4">
        <v>6.88E-2</v>
      </c>
      <c r="AE579" s="4">
        <v>0.13400000000000001</v>
      </c>
      <c r="AF579" s="3"/>
      <c r="AG579" s="3"/>
      <c r="AH579" s="4">
        <v>9.5699999999999993E-2</v>
      </c>
      <c r="AI579" s="4">
        <v>0.13500000000000001</v>
      </c>
      <c r="AJ579" s="4">
        <v>0.11</v>
      </c>
      <c r="AK579" s="4">
        <v>6.9900000000000004E-2</v>
      </c>
      <c r="AL579" s="4">
        <v>2.63E-2</v>
      </c>
      <c r="AM579" s="3"/>
      <c r="AN579" s="4">
        <v>8.7300000000000003E-2</v>
      </c>
      <c r="AO579" s="4">
        <v>4.1399999999999999E-2</v>
      </c>
      <c r="AP579" s="78">
        <v>47.4</v>
      </c>
    </row>
    <row r="580" spans="1:42">
      <c r="A580" s="9" t="s">
        <v>336</v>
      </c>
      <c r="B580" s="5"/>
      <c r="C580" s="5"/>
      <c r="D580" s="5"/>
      <c r="E580" s="5"/>
      <c r="F580" s="5"/>
      <c r="G580" s="5"/>
      <c r="H580" s="2">
        <v>0.13700000000000001</v>
      </c>
      <c r="I580" s="2">
        <v>0.13700000000000001</v>
      </c>
      <c r="J580" s="2">
        <v>0.13100000000000001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2">
        <v>0.123</v>
      </c>
      <c r="V580" s="2">
        <v>5.7599999999999998E-2</v>
      </c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2">
        <v>0.16300000000000001</v>
      </c>
      <c r="AK580" s="5"/>
      <c r="AL580" s="5"/>
      <c r="AM580" s="5"/>
      <c r="AN580" s="2">
        <v>0.16300000000000001</v>
      </c>
      <c r="AO580" s="5"/>
      <c r="AP580" s="79">
        <v>0</v>
      </c>
    </row>
    <row r="581" spans="1:42">
      <c r="A581" s="9" t="s">
        <v>337</v>
      </c>
      <c r="B581" s="3"/>
      <c r="C581" s="4">
        <v>2.18E-2</v>
      </c>
      <c r="D581" s="4">
        <v>2.41E-2</v>
      </c>
      <c r="E581" s="3"/>
      <c r="F581" s="4">
        <v>5.45E-2</v>
      </c>
      <c r="G581" s="4">
        <v>7.9500000000000005E-3</v>
      </c>
      <c r="H581" s="4">
        <v>5.4899999999999997E-2</v>
      </c>
      <c r="I581" s="4">
        <v>4.4999999999999998E-2</v>
      </c>
      <c r="J581" s="4">
        <v>4.4400000000000002E-2</v>
      </c>
      <c r="K581" s="4">
        <v>2.6499999999999999E-2</v>
      </c>
      <c r="L581" s="4">
        <v>4.1500000000000002E-2</v>
      </c>
      <c r="M581" s="3"/>
      <c r="N581" s="4">
        <v>6.8300000000000001E-3</v>
      </c>
      <c r="O581" s="3"/>
      <c r="P581" s="3"/>
      <c r="Q581" s="4">
        <v>6.4599999999999996E-3</v>
      </c>
      <c r="R581" s="4">
        <v>3.47E-3</v>
      </c>
      <c r="S581" s="4">
        <v>5.28E-2</v>
      </c>
      <c r="T581" s="4">
        <v>3.5499999999999997E-2</v>
      </c>
      <c r="U581" s="4">
        <v>4.7E-2</v>
      </c>
      <c r="V581" s="4">
        <v>3.0599999999999999E-2</v>
      </c>
      <c r="W581" s="4">
        <v>4.3200000000000002E-2</v>
      </c>
      <c r="X581" s="4">
        <v>1.49E-2</v>
      </c>
      <c r="Y581" s="4">
        <v>3.78E-2</v>
      </c>
      <c r="Z581" s="4">
        <v>1.0500000000000001E-2</v>
      </c>
      <c r="AA581" s="3"/>
      <c r="AB581" s="4">
        <v>1.5100000000000001E-2</v>
      </c>
      <c r="AC581" s="4">
        <v>8.0099999999999998E-3</v>
      </c>
      <c r="AD581" s="4">
        <v>1.09E-2</v>
      </c>
      <c r="AE581" s="4">
        <v>3.6900000000000002E-2</v>
      </c>
      <c r="AF581" s="3"/>
      <c r="AG581" s="3"/>
      <c r="AH581" s="4">
        <v>3.5799999999999998E-2</v>
      </c>
      <c r="AI581" s="4">
        <v>2.7300000000000001E-2</v>
      </c>
      <c r="AJ581" s="4">
        <v>3.7699999999999997E-2</v>
      </c>
      <c r="AK581" s="4">
        <v>2.7900000000000001E-2</v>
      </c>
      <c r="AL581" s="4">
        <v>4.6800000000000001E-3</v>
      </c>
      <c r="AM581" s="3"/>
      <c r="AN581" s="4">
        <v>2.6700000000000002E-2</v>
      </c>
      <c r="AO581" s="4">
        <v>1.3100000000000001E-2</v>
      </c>
      <c r="AP581" s="78">
        <v>49.2</v>
      </c>
    </row>
    <row r="582" spans="1:42">
      <c r="A582" s="9" t="s">
        <v>338</v>
      </c>
      <c r="B582" s="5"/>
      <c r="C582" s="5"/>
      <c r="D582" s="5"/>
      <c r="E582" s="5"/>
      <c r="F582" s="5"/>
      <c r="G582" s="5"/>
      <c r="H582" s="5"/>
      <c r="I582" s="2">
        <v>3.3599999999999998E-2</v>
      </c>
      <c r="J582" s="5"/>
      <c r="K582" s="5"/>
      <c r="L582" s="5"/>
      <c r="M582" s="5"/>
      <c r="N582" s="5"/>
      <c r="O582" s="5"/>
      <c r="P582" s="5"/>
      <c r="Q582" s="5"/>
      <c r="R582" s="2">
        <v>7.6699999999999997E-3</v>
      </c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2">
        <v>1.89E-2</v>
      </c>
      <c r="AD582" s="2">
        <v>0.02</v>
      </c>
      <c r="AE582" s="2">
        <v>8.8999999999999996E-2</v>
      </c>
      <c r="AF582" s="5"/>
      <c r="AG582" s="5"/>
      <c r="AH582" s="5"/>
      <c r="AI582" s="5"/>
      <c r="AJ582" s="5"/>
      <c r="AK582" s="5"/>
      <c r="AL582" s="5"/>
      <c r="AM582" s="5"/>
      <c r="AN582" s="5"/>
      <c r="AO582" s="2">
        <v>0</v>
      </c>
      <c r="AP582" s="77"/>
    </row>
    <row r="583" spans="1:42" ht="17" thickBot="1">
      <c r="A583" s="81" t="s">
        <v>760</v>
      </c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3">
        <v>0</v>
      </c>
      <c r="AP583" s="84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B2E0-59DD-C048-A02B-0DE703DD3C4F}">
  <dimension ref="A1:AH580"/>
  <sheetViews>
    <sheetView workbookViewId="0">
      <selection activeCell="F13" sqref="F13"/>
    </sheetView>
  </sheetViews>
  <sheetFormatPr baseColWidth="10" defaultColWidth="8.83203125" defaultRowHeight="16"/>
  <cols>
    <col min="1" max="1" width="58.1640625" bestFit="1" customWidth="1"/>
  </cols>
  <sheetData>
    <row r="1" spans="1:31">
      <c r="A1" s="6" t="s">
        <v>103</v>
      </c>
      <c r="B1" s="10" t="s">
        <v>0</v>
      </c>
      <c r="C1" s="10" t="s">
        <v>66</v>
      </c>
      <c r="D1" s="10" t="s">
        <v>67</v>
      </c>
      <c r="E1" s="10" t="s">
        <v>68</v>
      </c>
      <c r="F1" s="10" t="s">
        <v>387</v>
      </c>
      <c r="G1" s="10" t="s">
        <v>69</v>
      </c>
      <c r="H1" s="10" t="s">
        <v>70</v>
      </c>
      <c r="I1" s="10" t="s">
        <v>71</v>
      </c>
      <c r="J1" s="10" t="s">
        <v>72</v>
      </c>
      <c r="K1" s="10" t="s">
        <v>73</v>
      </c>
      <c r="L1" s="10" t="s">
        <v>74</v>
      </c>
      <c r="M1" s="10" t="s">
        <v>75</v>
      </c>
      <c r="N1" s="10" t="s">
        <v>76</v>
      </c>
      <c r="O1" s="10" t="s">
        <v>77</v>
      </c>
      <c r="P1" s="10" t="s">
        <v>78</v>
      </c>
      <c r="Q1" s="10" t="s">
        <v>79</v>
      </c>
      <c r="R1" s="10" t="s">
        <v>80</v>
      </c>
      <c r="S1" s="10" t="s">
        <v>81</v>
      </c>
      <c r="T1" s="10" t="s">
        <v>82</v>
      </c>
      <c r="U1" s="10" t="s">
        <v>83</v>
      </c>
      <c r="V1" s="10" t="s">
        <v>84</v>
      </c>
      <c r="W1" s="10" t="s">
        <v>85</v>
      </c>
      <c r="X1" s="10" t="s">
        <v>86</v>
      </c>
      <c r="Y1" s="10" t="s">
        <v>87</v>
      </c>
      <c r="Z1" s="10" t="s">
        <v>88</v>
      </c>
      <c r="AA1" s="10" t="s">
        <v>411</v>
      </c>
      <c r="AB1" s="10" t="s">
        <v>101</v>
      </c>
      <c r="AC1" s="10" t="s">
        <v>339</v>
      </c>
      <c r="AD1" s="10" t="s">
        <v>340</v>
      </c>
      <c r="AE1" s="10" t="s">
        <v>341</v>
      </c>
    </row>
    <row r="2" spans="1:31">
      <c r="A2" s="7" t="s">
        <v>418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>
      <c r="A3" s="7" t="s">
        <v>419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>
      <c r="A4" s="7" t="s">
        <v>420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>
      <c r="A5" s="7" t="s">
        <v>421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>
      <c r="A6" s="7" t="s">
        <v>104</v>
      </c>
      <c r="B6" s="3"/>
      <c r="C6" s="4">
        <v>0.13500000000000001</v>
      </c>
      <c r="D6" s="4">
        <v>0.25800000000000001</v>
      </c>
      <c r="E6" s="3"/>
      <c r="F6" s="3"/>
      <c r="G6" s="3"/>
      <c r="H6" s="4">
        <v>0.254</v>
      </c>
      <c r="I6" s="4">
        <v>0.153</v>
      </c>
      <c r="J6" s="4">
        <v>0.113</v>
      </c>
      <c r="K6" s="3"/>
      <c r="L6" s="3"/>
      <c r="M6" s="3"/>
      <c r="N6" s="3"/>
      <c r="O6" s="3"/>
      <c r="P6" s="3"/>
      <c r="Q6" s="3"/>
      <c r="R6" s="3"/>
      <c r="S6" s="4">
        <v>0.27</v>
      </c>
      <c r="T6" s="4">
        <v>0.47799999999999998</v>
      </c>
      <c r="U6" s="4">
        <v>0.223</v>
      </c>
      <c r="V6" s="4">
        <v>0.191</v>
      </c>
      <c r="W6" s="4">
        <v>0.254</v>
      </c>
      <c r="X6" s="4">
        <v>0.13</v>
      </c>
      <c r="Y6" s="4">
        <v>0.25900000000000001</v>
      </c>
      <c r="Z6" s="4">
        <v>0.26600000000000001</v>
      </c>
      <c r="AA6" s="4">
        <v>0.128</v>
      </c>
      <c r="AB6" s="3"/>
      <c r="AC6" s="3"/>
      <c r="AD6" s="3"/>
      <c r="AE6" s="3"/>
    </row>
    <row r="7" spans="1:31">
      <c r="A7" s="7" t="s">
        <v>422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>
      <c r="A8" s="7" t="s">
        <v>423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>
      <c r="A9" s="7" t="s">
        <v>424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>
      <c r="A10" s="7" t="s">
        <v>425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>
      <c r="A11" s="7" t="s">
        <v>426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>
      <c r="A12" s="7" t="s">
        <v>427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>
      <c r="A13" s="7" t="s">
        <v>428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>
      <c r="A14" s="7" t="s">
        <v>429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>
      <c r="A15" s="7" t="s">
        <v>430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>
      <c r="A16" s="7" t="s">
        <v>431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>
      <c r="A17" s="7" t="s">
        <v>432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>
      <c r="A18" s="7" t="s">
        <v>105</v>
      </c>
      <c r="B18" s="3"/>
      <c r="C18" s="4">
        <v>5.79E-2</v>
      </c>
      <c r="D18" s="4">
        <v>4.3499999999999997E-2</v>
      </c>
      <c r="E18" s="3"/>
      <c r="F18" s="3"/>
      <c r="G18" s="3"/>
      <c r="H18" s="4">
        <v>3.7900000000000003E-2</v>
      </c>
      <c r="I18" s="4">
        <v>4.6300000000000001E-2</v>
      </c>
      <c r="J18" s="4">
        <v>3.3799999999999997E-2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>
      <c r="A19" s="7" t="s">
        <v>433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>
      <c r="A20" s="7" t="s">
        <v>434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>
      <c r="A21" s="7" t="s">
        <v>435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>
      <c r="A22" s="7" t="s">
        <v>436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7" t="s">
        <v>106</v>
      </c>
      <c r="B23" s="2">
        <v>0.13900000000000001</v>
      </c>
      <c r="C23" s="2">
        <v>0.158</v>
      </c>
      <c r="D23" s="2">
        <v>8.8900000000000007E-2</v>
      </c>
      <c r="E23" s="2">
        <v>0.12</v>
      </c>
      <c r="F23" s="2">
        <v>9.1399999999999995E-2</v>
      </c>
      <c r="G23" s="2">
        <v>8.6499999999999994E-2</v>
      </c>
      <c r="H23" s="2">
        <v>0.20799999999999999</v>
      </c>
      <c r="I23" s="2">
        <v>0.16400000000000001</v>
      </c>
      <c r="J23" s="2">
        <v>0.155</v>
      </c>
      <c r="K23" s="2">
        <v>0.10299999999999999</v>
      </c>
      <c r="L23" s="2">
        <v>0.128</v>
      </c>
      <c r="M23" s="2">
        <v>0.13700000000000001</v>
      </c>
      <c r="N23" s="2">
        <v>0.123</v>
      </c>
      <c r="O23" s="2">
        <v>0.123</v>
      </c>
      <c r="P23" s="2">
        <v>0.159</v>
      </c>
      <c r="Q23" s="2">
        <v>0.10299999999999999</v>
      </c>
      <c r="R23" s="2">
        <v>0.11700000000000001</v>
      </c>
      <c r="S23" s="2">
        <v>0.16200000000000001</v>
      </c>
      <c r="T23" s="2">
        <v>9.3299999999999994E-2</v>
      </c>
      <c r="U23" s="2">
        <v>0.129</v>
      </c>
      <c r="V23" s="2">
        <v>0.186</v>
      </c>
      <c r="W23" s="2">
        <v>0.122</v>
      </c>
      <c r="X23" s="2">
        <v>9.0700000000000003E-2</v>
      </c>
      <c r="Y23" s="2">
        <v>0.183</v>
      </c>
      <c r="Z23" s="2">
        <v>0.157</v>
      </c>
      <c r="AA23" s="2">
        <v>0.10199999999999999</v>
      </c>
      <c r="AB23" s="2">
        <v>0.16</v>
      </c>
      <c r="AC23" s="2">
        <v>0.115</v>
      </c>
      <c r="AD23" s="2">
        <v>0.11899999999999999</v>
      </c>
      <c r="AE23" s="5"/>
    </row>
    <row r="24" spans="1:31">
      <c r="A24" s="7" t="s">
        <v>437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7" t="s">
        <v>438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>
      <c r="A26" s="7" t="s">
        <v>107</v>
      </c>
      <c r="B26" s="4">
        <v>5.6300000000000003E-2</v>
      </c>
      <c r="C26" s="4">
        <v>5.21E-2</v>
      </c>
      <c r="D26" s="4">
        <v>3.7199999999999997E-2</v>
      </c>
      <c r="E26" s="3"/>
      <c r="F26" s="3"/>
      <c r="G26" s="4">
        <v>7.0999999999999994E-2</v>
      </c>
      <c r="H26" s="4">
        <v>8.6900000000000005E-2</v>
      </c>
      <c r="I26" s="4">
        <v>6.4799999999999996E-2</v>
      </c>
      <c r="J26" s="4">
        <v>8.6199999999999999E-2</v>
      </c>
      <c r="K26" s="3"/>
      <c r="L26" s="3"/>
      <c r="M26" s="4">
        <v>5.3600000000000002E-2</v>
      </c>
      <c r="N26" s="4">
        <v>2.3599999999999999E-2</v>
      </c>
      <c r="O26" s="4">
        <v>5.5899999999999998E-2</v>
      </c>
      <c r="P26" s="4">
        <v>0.109</v>
      </c>
      <c r="Q26" s="3"/>
      <c r="R26" s="4">
        <v>4.9799999999999997E-2</v>
      </c>
      <c r="S26" s="4">
        <v>5.6800000000000003E-2</v>
      </c>
      <c r="T26" s="4">
        <v>9.3399999999999997E-2</v>
      </c>
      <c r="U26" s="4">
        <v>6.5600000000000006E-2</v>
      </c>
      <c r="V26" s="4">
        <v>3.8300000000000001E-2</v>
      </c>
      <c r="W26" s="4">
        <v>4.1799999999999997E-2</v>
      </c>
      <c r="X26" s="4">
        <v>3.0599999999999999E-2</v>
      </c>
      <c r="Y26" s="4">
        <v>4.2900000000000001E-2</v>
      </c>
      <c r="Z26" s="4">
        <v>7.5999999999999998E-2</v>
      </c>
      <c r="AA26" s="4">
        <v>6.9599999999999995E-2</v>
      </c>
      <c r="AB26" s="4">
        <v>7.0199999999999999E-2</v>
      </c>
      <c r="AC26" s="3"/>
      <c r="AD26" s="3"/>
      <c r="AE26" s="4">
        <v>3.15E-2</v>
      </c>
    </row>
    <row r="27" spans="1:31">
      <c r="A27" s="7" t="s">
        <v>108</v>
      </c>
      <c r="B27" s="2">
        <v>1.19</v>
      </c>
      <c r="C27" s="2">
        <v>0.113</v>
      </c>
      <c r="D27" s="2">
        <v>8.0699999999999994E-2</v>
      </c>
      <c r="E27" s="2">
        <v>4.7</v>
      </c>
      <c r="F27" s="2">
        <v>0.80400000000000005</v>
      </c>
      <c r="G27" s="2">
        <v>5.05</v>
      </c>
      <c r="H27" s="2">
        <v>6.4500000000000002E-2</v>
      </c>
      <c r="I27" s="2">
        <v>6.4000000000000001E-2</v>
      </c>
      <c r="J27" s="5"/>
      <c r="K27" s="2">
        <v>0.83</v>
      </c>
      <c r="L27" s="5"/>
      <c r="M27" s="2">
        <v>1.6</v>
      </c>
      <c r="N27" s="2">
        <v>1.87</v>
      </c>
      <c r="O27" s="2">
        <v>1.96</v>
      </c>
      <c r="P27" s="2">
        <v>0.94299999999999995</v>
      </c>
      <c r="Q27" s="2">
        <v>1.38</v>
      </c>
      <c r="R27" s="2">
        <v>5.74</v>
      </c>
      <c r="S27" s="2">
        <v>5.6399999999999999E-2</v>
      </c>
      <c r="T27" s="2">
        <v>0.19900000000000001</v>
      </c>
      <c r="U27" s="2">
        <v>5.0799999999999998E-2</v>
      </c>
      <c r="V27" s="2">
        <v>3.49E-2</v>
      </c>
      <c r="W27" s="2">
        <v>3.32E-2</v>
      </c>
      <c r="X27" s="2">
        <v>2.1899999999999999E-2</v>
      </c>
      <c r="Y27" s="2">
        <v>4.2500000000000003E-2</v>
      </c>
      <c r="Z27" s="2">
        <v>3.5400000000000001E-2</v>
      </c>
      <c r="AA27" s="2">
        <v>0.13100000000000001</v>
      </c>
      <c r="AB27" s="2">
        <v>0.89400000000000002</v>
      </c>
      <c r="AC27" s="5"/>
      <c r="AD27" s="2">
        <v>0.68799999999999994</v>
      </c>
      <c r="AE27" s="2">
        <v>6.16</v>
      </c>
    </row>
    <row r="28" spans="1:31">
      <c r="A28" s="7" t="s">
        <v>109</v>
      </c>
      <c r="B28" s="3"/>
      <c r="C28" s="4">
        <v>0.42199999999999999</v>
      </c>
      <c r="D28" s="4">
        <v>0.54700000000000004</v>
      </c>
      <c r="E28" s="3"/>
      <c r="F28" s="3"/>
      <c r="G28" s="3"/>
      <c r="H28" s="4">
        <v>0.31</v>
      </c>
      <c r="I28" s="4">
        <v>0.253</v>
      </c>
      <c r="J28" s="3"/>
      <c r="K28" s="3"/>
      <c r="L28" s="3"/>
      <c r="M28" s="3"/>
      <c r="N28" s="3"/>
      <c r="O28" s="3"/>
      <c r="P28" s="3"/>
      <c r="Q28" s="3"/>
      <c r="R28" s="3"/>
      <c r="S28" s="4">
        <v>0.109</v>
      </c>
      <c r="T28" s="4">
        <v>0.129</v>
      </c>
      <c r="U28" s="4">
        <v>0.58599999999999997</v>
      </c>
      <c r="V28" s="4">
        <v>7.0099999999999996E-2</v>
      </c>
      <c r="W28" s="4">
        <v>0.29599999999999999</v>
      </c>
      <c r="X28" s="4">
        <v>9.8299999999999998E-2</v>
      </c>
      <c r="Y28" s="4">
        <v>0.16400000000000001</v>
      </c>
      <c r="Z28" s="4">
        <v>8.5900000000000004E-2</v>
      </c>
      <c r="AA28" s="4">
        <v>0.28100000000000003</v>
      </c>
      <c r="AB28" s="3"/>
      <c r="AC28" s="3"/>
      <c r="AD28" s="3"/>
      <c r="AE28" s="3"/>
    </row>
    <row r="29" spans="1:31">
      <c r="A29" s="7" t="s">
        <v>110</v>
      </c>
      <c r="B29" s="5"/>
      <c r="C29" s="2">
        <v>4.1000000000000002E-2</v>
      </c>
      <c r="D29" s="2">
        <v>2.7900000000000001E-2</v>
      </c>
      <c r="E29" s="5"/>
      <c r="F29" s="5"/>
      <c r="G29" s="5"/>
      <c r="H29" s="2">
        <v>8.3599999999999994E-3</v>
      </c>
      <c r="I29" s="2">
        <v>1.4E-2</v>
      </c>
      <c r="J29" s="5"/>
      <c r="K29" s="5"/>
      <c r="L29" s="5"/>
      <c r="M29" s="5"/>
      <c r="N29" s="5"/>
      <c r="O29" s="5"/>
      <c r="P29" s="2">
        <v>4.3E-3</v>
      </c>
      <c r="Q29" s="5"/>
      <c r="R29" s="5"/>
      <c r="S29" s="5"/>
      <c r="T29" s="2">
        <v>2.5399999999999999E-2</v>
      </c>
      <c r="U29" s="2">
        <v>1.6400000000000001E-2</v>
      </c>
      <c r="V29" s="5"/>
      <c r="W29" s="5"/>
      <c r="X29" s="5"/>
      <c r="Y29" s="5"/>
      <c r="Z29" s="5"/>
      <c r="AA29" s="5"/>
      <c r="AB29" s="5"/>
      <c r="AC29" s="2">
        <v>7.9500000000000001E-2</v>
      </c>
      <c r="AD29" s="5"/>
      <c r="AE29" s="5"/>
    </row>
    <row r="30" spans="1:31">
      <c r="A30" s="7" t="s">
        <v>111</v>
      </c>
      <c r="B30" s="4">
        <v>0.112</v>
      </c>
      <c r="C30" s="4">
        <v>5.8900000000000001E-2</v>
      </c>
      <c r="D30" s="4">
        <v>5.4899999999999997E-2</v>
      </c>
      <c r="E30" s="4">
        <v>0.127</v>
      </c>
      <c r="F30" s="4">
        <v>0.17899999999999999</v>
      </c>
      <c r="G30" s="4">
        <v>0.108</v>
      </c>
      <c r="H30" s="4">
        <v>6.8599999999999994E-2</v>
      </c>
      <c r="I30" s="4">
        <v>5.5199999999999999E-2</v>
      </c>
      <c r="J30" s="4">
        <v>5.3900000000000003E-2</v>
      </c>
      <c r="K30" s="4">
        <v>8.09E-2</v>
      </c>
      <c r="L30" s="3"/>
      <c r="M30" s="4">
        <v>9.0999999999999998E-2</v>
      </c>
      <c r="N30" s="4">
        <v>8.9300000000000004E-2</v>
      </c>
      <c r="O30" s="4">
        <v>9.3399999999999997E-2</v>
      </c>
      <c r="P30" s="4">
        <v>0.11700000000000001</v>
      </c>
      <c r="Q30" s="4">
        <v>7.2099999999999997E-2</v>
      </c>
      <c r="R30" s="4">
        <v>8.8300000000000003E-2</v>
      </c>
      <c r="S30" s="4">
        <v>7.8299999999999995E-2</v>
      </c>
      <c r="T30" s="4">
        <v>6.0400000000000002E-2</v>
      </c>
      <c r="U30" s="4">
        <v>6.5799999999999997E-2</v>
      </c>
      <c r="V30" s="4">
        <v>3.9800000000000002E-2</v>
      </c>
      <c r="W30" s="4">
        <v>5.7200000000000001E-2</v>
      </c>
      <c r="X30" s="4">
        <v>2.92E-2</v>
      </c>
      <c r="Y30" s="4">
        <v>6.8099999999999994E-2</v>
      </c>
      <c r="Z30" s="4">
        <v>6.7400000000000002E-2</v>
      </c>
      <c r="AA30" s="3"/>
      <c r="AB30" s="4">
        <v>6.8599999999999994E-2</v>
      </c>
      <c r="AC30" s="3"/>
      <c r="AD30" s="4">
        <v>6.1899999999999997E-2</v>
      </c>
      <c r="AE30" s="4">
        <v>7.8E-2</v>
      </c>
    </row>
    <row r="31" spans="1:31">
      <c r="A31" s="7" t="s">
        <v>112</v>
      </c>
      <c r="B31" s="2">
        <v>1.4500000000000001E-2</v>
      </c>
      <c r="C31" s="2">
        <v>0.496</v>
      </c>
      <c r="D31" s="2">
        <v>0.499</v>
      </c>
      <c r="E31" s="5"/>
      <c r="F31" s="5"/>
      <c r="G31" s="5"/>
      <c r="H31" s="2">
        <v>0.40600000000000003</v>
      </c>
      <c r="I31" s="2">
        <v>0.35799999999999998</v>
      </c>
      <c r="J31" s="2">
        <v>0.5</v>
      </c>
      <c r="K31" s="5"/>
      <c r="L31" s="2">
        <v>0.64400000000000002</v>
      </c>
      <c r="M31" s="2">
        <v>7.2499999999999995E-2</v>
      </c>
      <c r="N31" s="2">
        <v>3.9899999999999998E-2</v>
      </c>
      <c r="O31" s="2">
        <v>2.41E-2</v>
      </c>
      <c r="P31" s="2">
        <v>1.0800000000000001E-2</v>
      </c>
      <c r="Q31" s="5"/>
      <c r="R31" s="5"/>
      <c r="S31" s="2">
        <v>5.2999999999999999E-2</v>
      </c>
      <c r="T31" s="2">
        <v>0.121</v>
      </c>
      <c r="U31" s="2">
        <v>0.1</v>
      </c>
      <c r="V31" s="5"/>
      <c r="W31" s="2">
        <v>0.108</v>
      </c>
      <c r="X31" s="2">
        <v>3.1099999999999999E-2</v>
      </c>
      <c r="Y31" s="2">
        <v>5.3400000000000003E-2</v>
      </c>
      <c r="Z31" s="2">
        <v>3.7600000000000001E-2</v>
      </c>
      <c r="AA31" s="5"/>
      <c r="AB31" s="2">
        <v>0.108</v>
      </c>
      <c r="AC31" s="2">
        <v>0.78700000000000003</v>
      </c>
      <c r="AD31" s="2">
        <v>6.5699999999999995E-2</v>
      </c>
      <c r="AE31" s="5"/>
    </row>
    <row r="32" spans="1:31">
      <c r="A32" s="7" t="s">
        <v>113</v>
      </c>
      <c r="B32" s="3"/>
      <c r="C32" s="4">
        <v>0.55100000000000005</v>
      </c>
      <c r="D32" s="4">
        <v>0.40600000000000003</v>
      </c>
      <c r="E32" s="3"/>
      <c r="F32" s="3"/>
      <c r="G32" s="4">
        <v>1.9800000000000002E-2</v>
      </c>
      <c r="H32" s="4">
        <v>0.315</v>
      </c>
      <c r="I32" s="4">
        <v>0.20799999999999999</v>
      </c>
      <c r="J32" s="4">
        <v>0.32300000000000001</v>
      </c>
      <c r="K32" s="3"/>
      <c r="L32" s="3"/>
      <c r="M32" s="4">
        <v>6.3899999999999998E-2</v>
      </c>
      <c r="N32" s="3"/>
      <c r="O32" s="3"/>
      <c r="P32" s="3"/>
      <c r="Q32" s="3"/>
      <c r="R32" s="3"/>
      <c r="S32" s="4">
        <v>5.2699999999999997E-2</v>
      </c>
      <c r="T32" s="3"/>
      <c r="U32" s="3"/>
      <c r="V32" s="3"/>
      <c r="W32" s="3"/>
      <c r="X32" s="3"/>
      <c r="Y32" s="3"/>
      <c r="Z32" s="3"/>
      <c r="AA32" s="3"/>
      <c r="AB32" s="4">
        <v>6.4399999999999999E-2</v>
      </c>
      <c r="AC32" s="3"/>
      <c r="AD32" s="3"/>
      <c r="AE32" s="4">
        <v>3.6900000000000002E-2</v>
      </c>
    </row>
    <row r="33" spans="1:31">
      <c r="A33" s="7" t="s">
        <v>439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>
      <c r="A34" s="7" t="s">
        <v>440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>
      <c r="A35" s="7" t="s">
        <v>441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>
      <c r="A36" s="7" t="s">
        <v>114</v>
      </c>
      <c r="B36" s="3"/>
      <c r="C36" s="4">
        <v>1.35E-2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">
        <v>1.0800000000000001E-2</v>
      </c>
      <c r="X36" s="3"/>
      <c r="Y36" s="3"/>
      <c r="Z36" s="3"/>
      <c r="AA36" s="3"/>
      <c r="AB36" s="3"/>
      <c r="AC36" s="3"/>
      <c r="AD36" s="3"/>
      <c r="AE36" s="3"/>
    </row>
    <row r="37" spans="1:31">
      <c r="A37" s="7" t="s">
        <v>442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>
      <c r="A38" s="7" t="s">
        <v>443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7" t="s">
        <v>115</v>
      </c>
      <c r="B39" s="2">
        <v>2.9100000000000001E-2</v>
      </c>
      <c r="C39" s="2">
        <v>2.06E-2</v>
      </c>
      <c r="D39" s="2">
        <v>1.7399999999999999E-2</v>
      </c>
      <c r="E39" s="2">
        <v>1.78E-2</v>
      </c>
      <c r="F39" s="2">
        <v>3.78E-2</v>
      </c>
      <c r="G39" s="2">
        <v>1.37E-2</v>
      </c>
      <c r="H39" s="2">
        <v>1.6299999999999999E-2</v>
      </c>
      <c r="I39" s="2">
        <v>1.78E-2</v>
      </c>
      <c r="J39" s="2">
        <v>1.1599999999999999E-2</v>
      </c>
      <c r="K39" s="2">
        <v>2.5700000000000001E-2</v>
      </c>
      <c r="L39" s="2">
        <v>5.8599999999999999E-2</v>
      </c>
      <c r="M39" s="2">
        <v>2.3400000000000001E-2</v>
      </c>
      <c r="N39" s="2">
        <v>2.0299999999999999E-2</v>
      </c>
      <c r="O39" s="2">
        <v>1.67E-2</v>
      </c>
      <c r="P39" s="2">
        <v>1.9599999999999999E-2</v>
      </c>
      <c r="Q39" s="2">
        <v>2.12E-2</v>
      </c>
      <c r="R39" s="2">
        <v>5.7499999999999999E-3</v>
      </c>
      <c r="S39" s="2">
        <v>1.6299999999999999E-2</v>
      </c>
      <c r="T39" s="2">
        <v>1.7100000000000001E-2</v>
      </c>
      <c r="U39" s="2">
        <v>1.5299999999999999E-2</v>
      </c>
      <c r="V39" s="2">
        <v>1.7100000000000001E-2</v>
      </c>
      <c r="W39" s="2">
        <v>9.41E-3</v>
      </c>
      <c r="X39" s="2">
        <v>9.0500000000000008E-3</v>
      </c>
      <c r="Y39" s="2">
        <v>9.2499999999999995E-3</v>
      </c>
      <c r="Z39" s="2">
        <v>1.7000000000000001E-2</v>
      </c>
      <c r="AA39" s="2">
        <v>1.2699999999999999E-2</v>
      </c>
      <c r="AB39" s="2">
        <v>2.6200000000000001E-2</v>
      </c>
      <c r="AC39" s="2">
        <v>0.04</v>
      </c>
      <c r="AD39" s="2">
        <v>2.23E-2</v>
      </c>
      <c r="AE39" s="2">
        <v>1.3899999999999999E-2</v>
      </c>
    </row>
    <row r="40" spans="1:31">
      <c r="A40" s="7" t="s">
        <v>116</v>
      </c>
      <c r="B40" s="4">
        <v>1.4500000000000001E-2</v>
      </c>
      <c r="C40" s="4">
        <v>7.7700000000000005E-2</v>
      </c>
      <c r="D40" s="4">
        <v>7.4300000000000005E-2</v>
      </c>
      <c r="E40" s="4">
        <v>0.04</v>
      </c>
      <c r="F40" s="4">
        <v>3.9600000000000003E-2</v>
      </c>
      <c r="G40" s="4">
        <v>2.6499999999999999E-2</v>
      </c>
      <c r="H40" s="4">
        <v>6.1899999999999997E-2</v>
      </c>
      <c r="I40" s="4">
        <v>4.5999999999999999E-2</v>
      </c>
      <c r="J40" s="4">
        <v>8.2699999999999996E-2</v>
      </c>
      <c r="K40" s="3"/>
      <c r="L40" s="3"/>
      <c r="M40" s="4">
        <v>3.8100000000000002E-2</v>
      </c>
      <c r="N40" s="4">
        <v>2.5999999999999999E-2</v>
      </c>
      <c r="O40" s="4">
        <v>2.8799999999999999E-2</v>
      </c>
      <c r="P40" s="4">
        <v>1.7999999999999999E-2</v>
      </c>
      <c r="Q40" s="4">
        <v>3.0200000000000001E-2</v>
      </c>
      <c r="R40" s="4">
        <v>3.3099999999999997E-2</v>
      </c>
      <c r="S40" s="4">
        <v>2.5600000000000001E-2</v>
      </c>
      <c r="T40" s="4">
        <v>3.7600000000000001E-2</v>
      </c>
      <c r="U40" s="4">
        <v>2.5899999999999999E-2</v>
      </c>
      <c r="V40" s="4">
        <v>7.1900000000000002E-3</v>
      </c>
      <c r="W40" s="4">
        <v>2.2499999999999999E-2</v>
      </c>
      <c r="X40" s="4">
        <v>9.6900000000000007E-3</v>
      </c>
      <c r="Y40" s="4">
        <v>1.5100000000000001E-2</v>
      </c>
      <c r="Z40" s="4">
        <v>7.8399999999999997E-3</v>
      </c>
      <c r="AA40" s="4">
        <v>2.01E-2</v>
      </c>
      <c r="AB40" s="4">
        <v>2.7E-2</v>
      </c>
      <c r="AC40" s="4">
        <v>5.2699999999999997E-2</v>
      </c>
      <c r="AD40" s="4">
        <v>2.6499999999999999E-2</v>
      </c>
      <c r="AE40" s="4">
        <v>3.3399999999999999E-2</v>
      </c>
    </row>
    <row r="41" spans="1:31">
      <c r="A41" s="7" t="s">
        <v>444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>
      <c r="A42" s="7" t="s">
        <v>117</v>
      </c>
      <c r="B42" s="3"/>
      <c r="C42" s="4">
        <v>4.5400000000000003E-2</v>
      </c>
      <c r="D42" s="4">
        <v>3.44E-2</v>
      </c>
      <c r="E42" s="3"/>
      <c r="F42" s="3"/>
      <c r="G42" s="3"/>
      <c r="H42" s="4">
        <v>2.7699999999999999E-2</v>
      </c>
      <c r="I42" s="4">
        <v>3.1E-2</v>
      </c>
      <c r="J42" s="4">
        <v>3.32E-2</v>
      </c>
      <c r="K42" s="3"/>
      <c r="L42" s="3"/>
      <c r="M42" s="3"/>
      <c r="N42" s="3"/>
      <c r="O42" s="3"/>
      <c r="P42" s="3"/>
      <c r="Q42" s="3"/>
      <c r="R42" s="3"/>
      <c r="S42" s="4">
        <v>7.7499999999999999E-3</v>
      </c>
      <c r="T42" s="4">
        <v>4.4200000000000003E-3</v>
      </c>
      <c r="U42" s="4">
        <v>2.1000000000000001E-2</v>
      </c>
      <c r="V42" s="4">
        <v>3.6900000000000001E-3</v>
      </c>
      <c r="W42" s="4">
        <v>1.46E-2</v>
      </c>
      <c r="X42" s="4">
        <v>1.5100000000000001E-3</v>
      </c>
      <c r="Y42" s="3"/>
      <c r="Z42" s="4">
        <v>1.5499999999999999E-3</v>
      </c>
      <c r="AA42" s="4">
        <v>9.2700000000000005E-3</v>
      </c>
      <c r="AB42" s="3"/>
      <c r="AC42" s="3"/>
      <c r="AD42" s="3"/>
      <c r="AE42" s="3"/>
    </row>
    <row r="43" spans="1:31">
      <c r="A43" s="7" t="s">
        <v>118</v>
      </c>
      <c r="B43" s="5"/>
      <c r="C43" s="2">
        <v>9.74E-2</v>
      </c>
      <c r="D43" s="2">
        <v>0.11700000000000001</v>
      </c>
      <c r="E43" s="5"/>
      <c r="F43" s="5"/>
      <c r="G43" s="5"/>
      <c r="H43" s="2">
        <v>5.9700000000000003E-2</v>
      </c>
      <c r="I43" s="2">
        <v>3.61E-2</v>
      </c>
      <c r="J43" s="2">
        <v>0.109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2">
        <v>0.11799999999999999</v>
      </c>
      <c r="AD43" s="5"/>
      <c r="AE43" s="5"/>
    </row>
    <row r="44" spans="1:31">
      <c r="A44" s="7" t="s">
        <v>445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>
      <c r="A45" s="7" t="s">
        <v>446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>
      <c r="A46" s="7" t="s">
        <v>447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>
      <c r="A47" s="7" t="s">
        <v>448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>
      <c r="A48" s="7" t="s">
        <v>449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>
      <c r="A49" s="7" t="s">
        <v>450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>
      <c r="A50" s="7" t="s">
        <v>119</v>
      </c>
      <c r="B50" s="4">
        <v>0.106</v>
      </c>
      <c r="C50" s="4">
        <v>7.46E-2</v>
      </c>
      <c r="D50" s="4">
        <v>7.5899999999999995E-2</v>
      </c>
      <c r="E50" s="3"/>
      <c r="F50" s="3"/>
      <c r="G50" s="4">
        <v>0.105</v>
      </c>
      <c r="H50" s="4">
        <v>0.16600000000000001</v>
      </c>
      <c r="I50" s="4">
        <v>9.2700000000000005E-2</v>
      </c>
      <c r="J50" s="4">
        <v>8.3299999999999999E-2</v>
      </c>
      <c r="K50" s="3"/>
      <c r="L50" s="3"/>
      <c r="M50" s="4">
        <v>6.9599999999999995E-2</v>
      </c>
      <c r="N50" s="4">
        <v>5.2299999999999999E-2</v>
      </c>
      <c r="O50" s="4">
        <v>0.10299999999999999</v>
      </c>
      <c r="P50" s="4">
        <v>0.224</v>
      </c>
      <c r="Q50" s="3"/>
      <c r="R50" s="4">
        <v>6.0699999999999997E-2</v>
      </c>
      <c r="S50" s="4">
        <v>0.11600000000000001</v>
      </c>
      <c r="T50" s="4">
        <v>8.4699999999999998E-2</v>
      </c>
      <c r="U50" s="4">
        <v>9.3200000000000005E-2</v>
      </c>
      <c r="V50" s="4">
        <v>3.3500000000000002E-2</v>
      </c>
      <c r="W50" s="4">
        <v>7.0099999999999996E-2</v>
      </c>
      <c r="X50" s="4">
        <v>5.2900000000000003E-2</v>
      </c>
      <c r="Y50" s="4">
        <v>0.129</v>
      </c>
      <c r="Z50" s="4">
        <v>0.20799999999999999</v>
      </c>
      <c r="AA50" s="4">
        <v>4.7100000000000003E-2</v>
      </c>
      <c r="AB50" s="4">
        <v>8.3500000000000005E-2</v>
      </c>
      <c r="AC50" s="4">
        <v>8.8900000000000007E-2</v>
      </c>
      <c r="AD50" s="3"/>
      <c r="AE50" s="4">
        <v>5.5100000000000003E-2</v>
      </c>
    </row>
    <row r="51" spans="1:31">
      <c r="A51" s="7" t="s">
        <v>451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>
      <c r="A52" s="7" t="s">
        <v>452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>
      <c r="A53" s="7" t="s">
        <v>453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>
      <c r="A54" s="7" t="s">
        <v>454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>
      <c r="A55" s="7" t="s">
        <v>120</v>
      </c>
      <c r="B55" s="5"/>
      <c r="C55" s="2">
        <v>5.9499999999999997E-2</v>
      </c>
      <c r="D55" s="2">
        <v>5.0799999999999998E-2</v>
      </c>
      <c r="E55" s="5"/>
      <c r="F55" s="5"/>
      <c r="G55" s="5"/>
      <c r="H55" s="2">
        <v>3.4799999999999998E-2</v>
      </c>
      <c r="I55" s="2">
        <v>4.2000000000000003E-2</v>
      </c>
      <c r="J55" s="2">
        <v>2.01E-2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>
      <c r="A56" s="7" t="s">
        <v>455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>
      <c r="A57" s="7" t="s">
        <v>456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>
      <c r="A58" s="7" t="s">
        <v>457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>
      <c r="A59" s="7" t="s">
        <v>458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>
      <c r="A60" s="7" t="s">
        <v>121</v>
      </c>
      <c r="B60" s="3"/>
      <c r="C60" s="4">
        <v>0.29199999999999998</v>
      </c>
      <c r="D60" s="4">
        <v>0.441</v>
      </c>
      <c r="E60" s="3"/>
      <c r="F60" s="3"/>
      <c r="G60" s="3"/>
      <c r="H60" s="4">
        <v>0.13600000000000001</v>
      </c>
      <c r="I60" s="4">
        <v>6.0199999999999997E-2</v>
      </c>
      <c r="J60" s="4">
        <v>0.16900000000000001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4">
        <v>7.9500000000000001E-2</v>
      </c>
      <c r="AD60" s="3"/>
      <c r="AE60" s="3"/>
    </row>
    <row r="61" spans="1:31">
      <c r="A61" s="7" t="s">
        <v>122</v>
      </c>
      <c r="B61" s="2">
        <v>3.7199999999999997E-2</v>
      </c>
      <c r="C61" s="2">
        <v>4.6199999999999998E-2</v>
      </c>
      <c r="D61" s="5"/>
      <c r="E61" s="5"/>
      <c r="F61" s="5"/>
      <c r="G61" s="5"/>
      <c r="H61" s="2">
        <v>4.6899999999999997E-2</v>
      </c>
      <c r="I61" s="2">
        <v>3.6600000000000001E-2</v>
      </c>
      <c r="J61" s="2">
        <v>5.1999999999999998E-2</v>
      </c>
      <c r="K61" s="5"/>
      <c r="L61" s="5"/>
      <c r="M61" s="2">
        <v>5.0599999999999999E-2</v>
      </c>
      <c r="N61" s="5"/>
      <c r="O61" s="5"/>
      <c r="P61" s="2">
        <v>4.8099999999999997E-2</v>
      </c>
      <c r="Q61" s="5"/>
      <c r="R61" s="5"/>
      <c r="S61" s="2">
        <v>0.111</v>
      </c>
      <c r="T61" s="5"/>
      <c r="U61" s="5"/>
      <c r="V61" s="5"/>
      <c r="W61" s="5"/>
      <c r="X61" s="5"/>
      <c r="Y61" s="2">
        <v>5.0900000000000001E-2</v>
      </c>
      <c r="Z61" s="2">
        <v>6.7699999999999996E-2</v>
      </c>
      <c r="AA61" s="5"/>
      <c r="AB61" s="2">
        <v>3.0099999999999998E-2</v>
      </c>
      <c r="AC61" s="5"/>
      <c r="AD61" s="5"/>
      <c r="AE61" s="5"/>
    </row>
    <row r="62" spans="1:31">
      <c r="A62" s="7" t="s">
        <v>459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>
      <c r="A63" s="7" t="s">
        <v>123</v>
      </c>
      <c r="B63" s="2">
        <v>3.26</v>
      </c>
      <c r="C63" s="2">
        <v>2.17</v>
      </c>
      <c r="D63" s="2">
        <v>0.76700000000000002</v>
      </c>
      <c r="E63" s="2">
        <v>1.1599999999999999</v>
      </c>
      <c r="F63" s="2">
        <v>1.45</v>
      </c>
      <c r="G63" s="2">
        <v>1.59</v>
      </c>
      <c r="H63" s="2">
        <v>4.13</v>
      </c>
      <c r="I63" s="2">
        <v>3.51</v>
      </c>
      <c r="J63" s="2">
        <v>4.6100000000000003</v>
      </c>
      <c r="K63" s="2">
        <v>2.83</v>
      </c>
      <c r="L63" s="2">
        <v>4.75</v>
      </c>
      <c r="M63" s="2">
        <v>8.73</v>
      </c>
      <c r="N63" s="2">
        <v>3.22</v>
      </c>
      <c r="O63" s="2">
        <v>2.5</v>
      </c>
      <c r="P63" s="2">
        <v>2.68</v>
      </c>
      <c r="Q63" s="2">
        <v>2.76</v>
      </c>
      <c r="R63" s="2">
        <v>2.38</v>
      </c>
      <c r="S63" s="2">
        <v>5.19</v>
      </c>
      <c r="T63" s="2">
        <v>3.73</v>
      </c>
      <c r="U63" s="2">
        <v>3.77</v>
      </c>
      <c r="V63" s="2">
        <v>13.1</v>
      </c>
      <c r="W63" s="2">
        <v>6.9</v>
      </c>
      <c r="X63" s="2">
        <v>3.18</v>
      </c>
      <c r="Y63" s="2">
        <v>4.0199999999999996</v>
      </c>
      <c r="Z63" s="2">
        <v>4.9000000000000004</v>
      </c>
      <c r="AA63" s="2">
        <v>3.64</v>
      </c>
      <c r="AB63" s="2">
        <v>3.02</v>
      </c>
      <c r="AC63" s="2">
        <v>4.2699999999999996</v>
      </c>
      <c r="AD63" s="2">
        <v>3.26</v>
      </c>
      <c r="AE63" s="2">
        <v>3.18</v>
      </c>
    </row>
    <row r="64" spans="1:31">
      <c r="A64" s="7" t="s">
        <v>460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>
      <c r="A65" s="7" t="s">
        <v>461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spans="1:31">
      <c r="A66" s="7" t="s">
        <v>124</v>
      </c>
      <c r="B66" s="4">
        <v>6.6500000000000004E-2</v>
      </c>
      <c r="C66" s="4">
        <v>5.4800000000000001E-2</v>
      </c>
      <c r="D66" s="4">
        <v>1.7899999999999999E-2</v>
      </c>
      <c r="E66" s="3"/>
      <c r="F66" s="3"/>
      <c r="G66" s="4">
        <v>3.5700000000000003E-2</v>
      </c>
      <c r="H66" s="4">
        <v>0.105</v>
      </c>
      <c r="I66" s="4">
        <v>7.0900000000000005E-2</v>
      </c>
      <c r="J66" s="4">
        <v>0.109</v>
      </c>
      <c r="K66" s="4">
        <v>8.1500000000000003E-2</v>
      </c>
      <c r="L66" s="3"/>
      <c r="M66" s="4">
        <v>0.17100000000000001</v>
      </c>
      <c r="N66" s="4">
        <v>6.0199999999999997E-2</v>
      </c>
      <c r="O66" s="4">
        <v>4.9000000000000002E-2</v>
      </c>
      <c r="P66" s="4">
        <v>5.8400000000000001E-2</v>
      </c>
      <c r="Q66" s="4">
        <v>0.10199999999999999</v>
      </c>
      <c r="R66" s="4">
        <v>4.7800000000000002E-2</v>
      </c>
      <c r="S66" s="4">
        <v>0.14099999999999999</v>
      </c>
      <c r="T66" s="4">
        <v>0.14499999999999999</v>
      </c>
      <c r="U66" s="4">
        <v>9.6699999999999994E-2</v>
      </c>
      <c r="V66" s="4">
        <v>0.13900000000000001</v>
      </c>
      <c r="W66" s="4">
        <v>0.14199999999999999</v>
      </c>
      <c r="X66" s="3"/>
      <c r="Y66" s="4">
        <v>9.0700000000000003E-2</v>
      </c>
      <c r="Z66" s="4">
        <v>0.112</v>
      </c>
      <c r="AA66" s="4">
        <v>9.9400000000000002E-2</v>
      </c>
      <c r="AB66" s="4">
        <v>6.8099999999999994E-2</v>
      </c>
      <c r="AC66" s="4">
        <v>0.13600000000000001</v>
      </c>
      <c r="AD66" s="4">
        <v>9.5600000000000004E-2</v>
      </c>
      <c r="AE66" s="4">
        <v>7.0199999999999999E-2</v>
      </c>
    </row>
    <row r="67" spans="1:31">
      <c r="A67" s="7" t="s">
        <v>462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spans="1:31">
      <c r="A68" s="7" t="s">
        <v>463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>
      <c r="A69" s="7" t="s">
        <v>464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spans="1:31">
      <c r="A70" s="7" t="s">
        <v>125</v>
      </c>
      <c r="B70" s="4">
        <v>4.4299999999999999E-2</v>
      </c>
      <c r="C70" s="4">
        <v>5.4300000000000001E-2</v>
      </c>
      <c r="D70" s="4">
        <v>0.06</v>
      </c>
      <c r="E70" s="4">
        <v>1.6799999999999999E-2</v>
      </c>
      <c r="F70" s="3"/>
      <c r="G70" s="3"/>
      <c r="H70" s="4">
        <v>4.9500000000000002E-2</v>
      </c>
      <c r="I70" s="4">
        <v>2.7300000000000001E-2</v>
      </c>
      <c r="J70" s="4">
        <v>4.5199999999999997E-2</v>
      </c>
      <c r="K70" s="3"/>
      <c r="L70" s="4">
        <v>0.25700000000000001</v>
      </c>
      <c r="M70" s="4">
        <v>0.22800000000000001</v>
      </c>
      <c r="N70" s="4">
        <v>3.3099999999999997E-2</v>
      </c>
      <c r="O70" s="4">
        <v>2.7099999999999999E-2</v>
      </c>
      <c r="P70" s="4">
        <v>6.1100000000000002E-2</v>
      </c>
      <c r="Q70" s="4">
        <v>7.1999999999999995E-2</v>
      </c>
      <c r="R70" s="3"/>
      <c r="S70" s="4">
        <v>0.10199999999999999</v>
      </c>
      <c r="T70" s="4">
        <v>0.36499999999999999</v>
      </c>
      <c r="U70" s="4">
        <v>0.29799999999999999</v>
      </c>
      <c r="V70" s="4">
        <v>4.0800000000000003E-2</v>
      </c>
      <c r="W70" s="4">
        <v>0.187</v>
      </c>
      <c r="X70" s="4">
        <v>3.04E-2</v>
      </c>
      <c r="Y70" s="4">
        <v>5.0599999999999999E-2</v>
      </c>
      <c r="Z70" s="4">
        <v>2.87E-2</v>
      </c>
      <c r="AA70" s="4">
        <v>0.14399999999999999</v>
      </c>
      <c r="AB70" s="4">
        <v>0.13900000000000001</v>
      </c>
      <c r="AC70" s="4">
        <v>0.35199999999999998</v>
      </c>
      <c r="AD70" s="3"/>
      <c r="AE70" s="3"/>
    </row>
    <row r="71" spans="1:31">
      <c r="A71" s="7" t="s">
        <v>465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>
      <c r="A72" s="7" t="s">
        <v>466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>
      <c r="A73" s="7" t="s">
        <v>467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>
      <c r="A74" s="7" t="s">
        <v>468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>
      <c r="A75" s="7" t="s">
        <v>469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spans="1:31">
      <c r="A76" s="7" t="s">
        <v>470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>
        <v>8.7900000000000006E-2</v>
      </c>
      <c r="X76" s="3"/>
      <c r="Y76" s="4">
        <v>0.60299999999999998</v>
      </c>
      <c r="Z76" s="4">
        <v>0.60899999999999999</v>
      </c>
      <c r="AA76" s="3"/>
      <c r="AB76" s="3"/>
      <c r="AC76" s="3"/>
      <c r="AD76" s="3"/>
      <c r="AE76" s="3"/>
    </row>
    <row r="77" spans="1:31">
      <c r="A77" s="7" t="s">
        <v>471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spans="1:31">
      <c r="A78" s="7" t="s">
        <v>472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>
      <c r="A79" s="7" t="s">
        <v>473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spans="1:31">
      <c r="A80" s="7" t="s">
        <v>474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>
      <c r="A81" s="7" t="s">
        <v>475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spans="1:31">
      <c r="A82" s="7" t="s">
        <v>476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>
      <c r="A83" s="7" t="s">
        <v>477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spans="1:31">
      <c r="A84" s="7" t="s">
        <v>478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>
      <c r="A85" s="7" t="s">
        <v>479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spans="1:31">
      <c r="A86" s="7" t="s">
        <v>480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>
      <c r="A87" s="7" t="s">
        <v>481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spans="1:31">
      <c r="A88" s="7" t="s">
        <v>482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>
      <c r="A89" s="7" t="s">
        <v>483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spans="1:31">
      <c r="A90" s="7" t="s">
        <v>484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>
      <c r="A91" s="7" t="s">
        <v>485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spans="1:31">
      <c r="A92" s="7" t="s">
        <v>486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>
      <c r="A93" s="7" t="s">
        <v>126</v>
      </c>
      <c r="B93" s="2">
        <v>7.8600000000000003E-2</v>
      </c>
      <c r="C93" s="2">
        <v>2.75E-2</v>
      </c>
      <c r="D93" s="2">
        <v>1.8800000000000001E-2</v>
      </c>
      <c r="E93" s="5"/>
      <c r="F93" s="5"/>
      <c r="G93" s="2">
        <v>1.2999999999999999E-2</v>
      </c>
      <c r="H93" s="2">
        <v>6.1600000000000002E-2</v>
      </c>
      <c r="I93" s="2">
        <v>6.6400000000000001E-2</v>
      </c>
      <c r="J93" s="2">
        <v>3.95E-2</v>
      </c>
      <c r="K93" s="5"/>
      <c r="L93" s="5"/>
      <c r="M93" s="2">
        <v>0.215</v>
      </c>
      <c r="N93" s="2">
        <v>0.23</v>
      </c>
      <c r="O93" s="2">
        <v>0.159</v>
      </c>
      <c r="P93" s="2">
        <v>8.2500000000000004E-2</v>
      </c>
      <c r="Q93" s="5"/>
      <c r="R93" s="2">
        <v>2.6599999999999999E-2</v>
      </c>
      <c r="S93" s="2">
        <v>0.10199999999999999</v>
      </c>
      <c r="T93" s="2">
        <v>2.6599999999999999E-2</v>
      </c>
      <c r="U93" s="2">
        <v>5.7500000000000002E-2</v>
      </c>
      <c r="V93" s="2">
        <v>6.9199999999999998E-2</v>
      </c>
      <c r="W93" s="5"/>
      <c r="X93" s="2">
        <v>1.7500000000000002E-2</v>
      </c>
      <c r="Y93" s="2">
        <v>8.2699999999999996E-2</v>
      </c>
      <c r="Z93" s="2">
        <v>7.8200000000000006E-2</v>
      </c>
      <c r="AA93" s="2">
        <v>9.11E-2</v>
      </c>
      <c r="AB93" s="2">
        <v>0.17499999999999999</v>
      </c>
      <c r="AC93" s="5"/>
      <c r="AD93" s="5"/>
      <c r="AE93" s="2">
        <v>9.4600000000000004E-2</v>
      </c>
    </row>
    <row r="94" spans="1:31">
      <c r="A94" s="7" t="s">
        <v>487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>
      <c r="A95" s="7" t="s">
        <v>488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spans="1:31">
      <c r="A96" s="7" t="s">
        <v>489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>
      <c r="A97" s="7" t="s">
        <v>490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spans="1:31">
      <c r="A98" s="7" t="s">
        <v>127</v>
      </c>
      <c r="B98" s="3"/>
      <c r="C98" s="3"/>
      <c r="D98" s="3"/>
      <c r="E98" s="3"/>
      <c r="F98" s="3"/>
      <c r="G98" s="4">
        <v>0.107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4">
        <v>5.7299999999999997E-2</v>
      </c>
      <c r="S98" s="4">
        <v>3.7299999999999998E-3</v>
      </c>
      <c r="T98" s="4">
        <v>4.82E-2</v>
      </c>
      <c r="U98" s="4">
        <v>7.3800000000000003E-3</v>
      </c>
      <c r="V98" s="3"/>
      <c r="W98" s="4">
        <v>2.1700000000000001E-3</v>
      </c>
      <c r="X98" s="3"/>
      <c r="Y98" s="3"/>
      <c r="Z98" s="4">
        <v>5.7999999999999996E-3</v>
      </c>
      <c r="AA98" s="3"/>
      <c r="AB98" s="3"/>
      <c r="AC98" s="3"/>
      <c r="AD98" s="3"/>
      <c r="AE98" s="4">
        <v>0.126</v>
      </c>
    </row>
    <row r="99" spans="1:31">
      <c r="A99" s="7" t="s">
        <v>128</v>
      </c>
      <c r="B99" s="2">
        <v>0.28599999999999998</v>
      </c>
      <c r="C99" s="2">
        <v>9.7699999999999995E-2</v>
      </c>
      <c r="D99" s="2">
        <v>8.7599999999999997E-2</v>
      </c>
      <c r="E99" s="2">
        <v>0.23599999999999999</v>
      </c>
      <c r="F99" s="2">
        <v>0.14899999999999999</v>
      </c>
      <c r="G99" s="2">
        <v>0.184</v>
      </c>
      <c r="H99" s="2">
        <v>0.185</v>
      </c>
      <c r="I99" s="2">
        <v>0.17699999999999999</v>
      </c>
      <c r="J99" s="2">
        <v>0.13500000000000001</v>
      </c>
      <c r="K99" s="2">
        <v>0.123</v>
      </c>
      <c r="L99" s="5"/>
      <c r="M99" s="2">
        <v>0.28999999999999998</v>
      </c>
      <c r="N99" s="2">
        <v>0.152</v>
      </c>
      <c r="O99" s="2">
        <v>0.24</v>
      </c>
      <c r="P99" s="2">
        <v>0.32</v>
      </c>
      <c r="Q99" s="2">
        <v>0.30599999999999999</v>
      </c>
      <c r="R99" s="2">
        <v>0.17699999999999999</v>
      </c>
      <c r="S99" s="2">
        <v>0.14299999999999999</v>
      </c>
      <c r="T99" s="2">
        <v>0.14000000000000001</v>
      </c>
      <c r="U99" s="2">
        <v>0.376</v>
      </c>
      <c r="V99" s="2">
        <v>0.189</v>
      </c>
      <c r="W99" s="2">
        <v>0.20300000000000001</v>
      </c>
      <c r="X99" s="2">
        <v>7.8899999999999998E-2</v>
      </c>
      <c r="Y99" s="2">
        <v>0.2</v>
      </c>
      <c r="Z99" s="2">
        <v>0.23100000000000001</v>
      </c>
      <c r="AA99" s="2">
        <v>0.112</v>
      </c>
      <c r="AB99" s="2">
        <v>0.372</v>
      </c>
      <c r="AC99" s="5"/>
      <c r="AD99" s="2">
        <v>0.21299999999999999</v>
      </c>
      <c r="AE99" s="2">
        <v>0.219</v>
      </c>
    </row>
    <row r="100" spans="1:31">
      <c r="A100" s="7" t="s">
        <v>129</v>
      </c>
      <c r="B100" s="3"/>
      <c r="C100" s="4">
        <v>3.1E-2</v>
      </c>
      <c r="D100" s="4">
        <v>3.2199999999999999E-2</v>
      </c>
      <c r="E100" s="3"/>
      <c r="F100" s="3"/>
      <c r="G100" s="3"/>
      <c r="H100" s="4">
        <v>1.8599999999999998E-2</v>
      </c>
      <c r="I100" s="4">
        <v>8.4799999999999997E-3</v>
      </c>
      <c r="J100" s="4">
        <v>4.9700000000000001E-2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>
      <c r="A101" s="7" t="s">
        <v>491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>
      <c r="A102" s="7" t="s">
        <v>492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>
      <c r="A103" s="7" t="s">
        <v>493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>
      <c r="A104" s="7" t="s">
        <v>130</v>
      </c>
      <c r="B104" s="3"/>
      <c r="C104" s="4">
        <v>1.9900000000000001E-2</v>
      </c>
      <c r="D104" s="3"/>
      <c r="E104" s="3"/>
      <c r="F104" s="3"/>
      <c r="G104" s="3"/>
      <c r="H104" s="3"/>
      <c r="I104" s="4">
        <v>1.5599999999999999E-2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>
      <c r="A105" s="7" t="s">
        <v>131</v>
      </c>
      <c r="B105" s="5"/>
      <c r="C105" s="2">
        <v>1.01E-2</v>
      </c>
      <c r="D105" s="2">
        <v>4.6100000000000004E-3</v>
      </c>
      <c r="E105" s="5"/>
      <c r="F105" s="5"/>
      <c r="G105" s="5"/>
      <c r="H105" s="2">
        <v>2.9399999999999999E-3</v>
      </c>
      <c r="I105" s="2">
        <v>4.8900000000000002E-3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>
      <c r="A106" s="7" t="s">
        <v>494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>
      <c r="A107" s="7" t="s">
        <v>132</v>
      </c>
      <c r="B107" s="5"/>
      <c r="C107" s="5"/>
      <c r="D107" s="5"/>
      <c r="E107" s="2">
        <v>4.0999999999999996</v>
      </c>
      <c r="F107" s="2">
        <v>4.4400000000000004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2">
        <v>1.61E-2</v>
      </c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>
      <c r="A108" s="7" t="s">
        <v>133</v>
      </c>
      <c r="B108" s="4">
        <v>5.5E-2</v>
      </c>
      <c r="C108" s="4">
        <v>2.7300000000000001E-2</v>
      </c>
      <c r="D108" s="4">
        <v>1.04E-2</v>
      </c>
      <c r="E108" s="3"/>
      <c r="F108" s="4">
        <v>1.9199999999999998E-2</v>
      </c>
      <c r="G108" s="4">
        <v>1.8700000000000001E-2</v>
      </c>
      <c r="H108" s="4">
        <v>5.4199999999999998E-2</v>
      </c>
      <c r="I108" s="4">
        <v>4.8099999999999997E-2</v>
      </c>
      <c r="J108" s="4">
        <v>3.2599999999999997E-2</v>
      </c>
      <c r="K108" s="4">
        <v>1.7899999999999999E-2</v>
      </c>
      <c r="L108" s="4">
        <v>9.6600000000000005E-2</v>
      </c>
      <c r="M108" s="4">
        <v>7.6200000000000004E-2</v>
      </c>
      <c r="N108" s="4">
        <v>2.1600000000000001E-2</v>
      </c>
      <c r="O108" s="4">
        <v>2.46E-2</v>
      </c>
      <c r="P108" s="4">
        <v>2.6700000000000002E-2</v>
      </c>
      <c r="Q108" s="4">
        <v>1.4500000000000001E-2</v>
      </c>
      <c r="R108" s="4">
        <v>2.2200000000000001E-2</v>
      </c>
      <c r="S108" s="4">
        <v>0.13400000000000001</v>
      </c>
      <c r="T108" s="4">
        <v>0.23300000000000001</v>
      </c>
      <c r="U108" s="4">
        <v>6.5699999999999995E-2</v>
      </c>
      <c r="V108" s="4">
        <v>7.2499999999999995E-2</v>
      </c>
      <c r="W108" s="4">
        <v>2.6700000000000002E-2</v>
      </c>
      <c r="X108" s="4">
        <v>3.6400000000000002E-2</v>
      </c>
      <c r="Y108" s="4">
        <v>4.6600000000000003E-2</v>
      </c>
      <c r="Z108" s="4">
        <v>6.7900000000000002E-2</v>
      </c>
      <c r="AA108" s="4">
        <v>5.5E-2</v>
      </c>
      <c r="AB108" s="4">
        <v>5.2200000000000003E-2</v>
      </c>
      <c r="AC108" s="4">
        <v>5.6399999999999999E-2</v>
      </c>
      <c r="AD108" s="4">
        <v>4.2999999999999997E-2</v>
      </c>
      <c r="AE108" s="4">
        <v>5.4399999999999997E-2</v>
      </c>
    </row>
    <row r="109" spans="1:31">
      <c r="A109" s="7" t="s">
        <v>134</v>
      </c>
      <c r="B109" s="2">
        <v>0.51</v>
      </c>
      <c r="C109" s="2">
        <v>0.17599999999999999</v>
      </c>
      <c r="D109" s="2">
        <v>2.8799999999999999E-2</v>
      </c>
      <c r="E109" s="2">
        <v>5.5E-2</v>
      </c>
      <c r="F109" s="2">
        <v>0.183</v>
      </c>
      <c r="G109" s="5"/>
      <c r="H109" s="2">
        <v>0.624</v>
      </c>
      <c r="I109" s="2">
        <v>0.61699999999999999</v>
      </c>
      <c r="J109" s="2">
        <v>0.32300000000000001</v>
      </c>
      <c r="K109" s="2">
        <v>0.21099999999999999</v>
      </c>
      <c r="L109" s="2">
        <v>0.66800000000000004</v>
      </c>
      <c r="M109" s="2">
        <v>0.68</v>
      </c>
      <c r="N109" s="2">
        <v>0.25600000000000001</v>
      </c>
      <c r="O109" s="2">
        <v>0.34499999999999997</v>
      </c>
      <c r="P109" s="2">
        <v>0.27700000000000002</v>
      </c>
      <c r="Q109" s="2">
        <v>0.14599999999999999</v>
      </c>
      <c r="R109" s="2">
        <v>0.17799999999999999</v>
      </c>
      <c r="S109" s="2">
        <v>0.97399999999999998</v>
      </c>
      <c r="T109" s="2">
        <v>0.159</v>
      </c>
      <c r="U109" s="2">
        <v>0.80400000000000005</v>
      </c>
      <c r="V109" s="2">
        <v>0.623</v>
      </c>
      <c r="W109" s="2">
        <v>0.40400000000000003</v>
      </c>
      <c r="X109" s="2">
        <v>0.40600000000000003</v>
      </c>
      <c r="Y109" s="2">
        <v>0.60499999999999998</v>
      </c>
      <c r="Z109" s="2">
        <v>0.71799999999999997</v>
      </c>
      <c r="AA109" s="5"/>
      <c r="AB109" s="2">
        <v>0.60899999999999999</v>
      </c>
      <c r="AC109" s="2">
        <v>0.56200000000000006</v>
      </c>
      <c r="AD109" s="2">
        <v>0.441</v>
      </c>
      <c r="AE109" s="2">
        <v>0.44600000000000001</v>
      </c>
    </row>
    <row r="110" spans="1:31">
      <c r="A110" s="7" t="s">
        <v>495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>
      <c r="A111" s="7" t="s">
        <v>496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>
      <c r="A112" s="7" t="s">
        <v>497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>
      <c r="A113" s="7" t="s">
        <v>498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>
      <c r="A114" s="7" t="s">
        <v>499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>
      <c r="A115" s="7" t="s">
        <v>135</v>
      </c>
      <c r="B115" s="2">
        <v>0.11799999999999999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2">
        <v>0.17199999999999999</v>
      </c>
      <c r="N115" s="2">
        <v>0.109</v>
      </c>
      <c r="O115" s="2">
        <v>0.13300000000000001</v>
      </c>
      <c r="P115" s="2">
        <v>0.17899999999999999</v>
      </c>
      <c r="Q115" s="5"/>
      <c r="R115" s="5"/>
      <c r="S115" s="2">
        <v>0.16300000000000001</v>
      </c>
      <c r="T115" s="2">
        <v>0.379</v>
      </c>
      <c r="U115" s="2">
        <v>0.20699999999999999</v>
      </c>
      <c r="V115" s="2">
        <v>0.20599999999999999</v>
      </c>
      <c r="W115" s="2">
        <v>0.14099999999999999</v>
      </c>
      <c r="X115" s="2">
        <v>0.13100000000000001</v>
      </c>
      <c r="Y115" s="2">
        <v>0.21199999999999999</v>
      </c>
      <c r="Z115" s="2">
        <v>0.28999999999999998</v>
      </c>
      <c r="AA115" s="5"/>
      <c r="AB115" s="2">
        <v>0.16900000000000001</v>
      </c>
      <c r="AC115" s="5"/>
      <c r="AD115" s="2">
        <v>1.68</v>
      </c>
      <c r="AE115" s="5"/>
    </row>
    <row r="116" spans="1:31">
      <c r="A116" s="7" t="s">
        <v>500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>
      <c r="A117" s="7" t="s">
        <v>136</v>
      </c>
      <c r="B117" s="5"/>
      <c r="C117" s="2">
        <v>9.1400000000000006E-3</v>
      </c>
      <c r="D117" s="2">
        <v>3.0100000000000001E-3</v>
      </c>
      <c r="E117" s="2">
        <v>3.7399999999999998E-3</v>
      </c>
      <c r="F117" s="5"/>
      <c r="G117" s="5"/>
      <c r="H117" s="2">
        <v>8.9800000000000004E-4</v>
      </c>
      <c r="I117" s="2">
        <v>4.6100000000000004E-3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>
      <c r="A118" s="7" t="s">
        <v>501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>
      <c r="A119" s="7" t="s">
        <v>502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>
      <c r="A120" s="7" t="s">
        <v>503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>
      <c r="A121" s="7" t="s">
        <v>137</v>
      </c>
      <c r="B121" s="2">
        <v>0.377</v>
      </c>
      <c r="C121" s="2">
        <v>0.1</v>
      </c>
      <c r="D121" s="2">
        <v>7.2499999999999995E-2</v>
      </c>
      <c r="E121" s="5"/>
      <c r="F121" s="5"/>
      <c r="G121" s="2">
        <v>4.4299999999999999E-2</v>
      </c>
      <c r="H121" s="2">
        <v>0.377</v>
      </c>
      <c r="I121" s="2">
        <v>0.33900000000000002</v>
      </c>
      <c r="J121" s="2">
        <v>0.13300000000000001</v>
      </c>
      <c r="K121" s="5"/>
      <c r="L121" s="5"/>
      <c r="M121" s="2">
        <v>0.73499999999999999</v>
      </c>
      <c r="N121" s="2">
        <v>0.70099999999999996</v>
      </c>
      <c r="O121" s="2">
        <v>0.55100000000000005</v>
      </c>
      <c r="P121" s="2">
        <v>0.44</v>
      </c>
      <c r="Q121" s="2">
        <v>0.17499999999999999</v>
      </c>
      <c r="R121" s="2">
        <v>8.9200000000000002E-2</v>
      </c>
      <c r="S121" s="2">
        <v>0.45200000000000001</v>
      </c>
      <c r="T121" s="2">
        <v>0.13800000000000001</v>
      </c>
      <c r="U121" s="2">
        <v>0.30099999999999999</v>
      </c>
      <c r="V121" s="2">
        <v>0.40899999999999997</v>
      </c>
      <c r="W121" s="2">
        <v>0.154</v>
      </c>
      <c r="X121" s="2">
        <v>0.14099999999999999</v>
      </c>
      <c r="Y121" s="2">
        <v>0.59699999999999998</v>
      </c>
      <c r="Z121" s="2">
        <v>0.44</v>
      </c>
      <c r="AA121" s="2">
        <v>0.54300000000000004</v>
      </c>
      <c r="AB121" s="2">
        <v>0.746</v>
      </c>
      <c r="AC121" s="5"/>
      <c r="AD121" s="2">
        <v>0.29499999999999998</v>
      </c>
      <c r="AE121" s="2">
        <v>0.441</v>
      </c>
    </row>
    <row r="122" spans="1:31">
      <c r="A122" s="7" t="s">
        <v>504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>
      <c r="A123" s="7" t="s">
        <v>138</v>
      </c>
      <c r="B123" s="2">
        <v>1.8200000000000001E-2</v>
      </c>
      <c r="C123" s="2">
        <v>1.9300000000000001E-2</v>
      </c>
      <c r="D123" s="2">
        <v>1.6E-2</v>
      </c>
      <c r="E123" s="2">
        <v>4.2500000000000003E-2</v>
      </c>
      <c r="F123" s="2">
        <v>5.1999999999999998E-2</v>
      </c>
      <c r="G123" s="2">
        <v>1.5800000000000002E-2</v>
      </c>
      <c r="H123" s="2">
        <v>1.78E-2</v>
      </c>
      <c r="I123" s="2">
        <v>1.54E-2</v>
      </c>
      <c r="J123" s="2">
        <v>2.5399999999999999E-2</v>
      </c>
      <c r="K123" s="2">
        <v>3.6299999999999999E-2</v>
      </c>
      <c r="L123" s="5"/>
      <c r="M123" s="2">
        <v>1.61E-2</v>
      </c>
      <c r="N123" s="2">
        <v>2.01E-2</v>
      </c>
      <c r="O123" s="2">
        <v>1.8700000000000001E-2</v>
      </c>
      <c r="P123" s="2">
        <v>1.8599999999999998E-2</v>
      </c>
      <c r="Q123" s="2">
        <v>3.5700000000000003E-2</v>
      </c>
      <c r="R123" s="2">
        <v>9.4699999999999993E-3</v>
      </c>
      <c r="S123" s="2">
        <v>9.5399999999999999E-3</v>
      </c>
      <c r="T123" s="2">
        <v>1.0200000000000001E-2</v>
      </c>
      <c r="U123" s="2">
        <v>2.1399999999999999E-2</v>
      </c>
      <c r="V123" s="2">
        <v>1.26E-2</v>
      </c>
      <c r="W123" s="2">
        <v>8.5500000000000003E-3</v>
      </c>
      <c r="X123" s="2">
        <v>5.1599999999999997E-3</v>
      </c>
      <c r="Y123" s="2">
        <v>7.3299999999999997E-3</v>
      </c>
      <c r="Z123" s="2">
        <v>6.9300000000000004E-3</v>
      </c>
      <c r="AA123" s="2">
        <v>4.0600000000000002E-3</v>
      </c>
      <c r="AB123" s="2">
        <v>1.7999999999999999E-2</v>
      </c>
      <c r="AC123" s="2">
        <v>2.5499999999999998E-2</v>
      </c>
      <c r="AD123" s="2">
        <v>2.86E-2</v>
      </c>
      <c r="AE123" s="2">
        <v>1.8200000000000001E-2</v>
      </c>
    </row>
    <row r="124" spans="1:31">
      <c r="A124" s="7" t="s">
        <v>505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>
      <c r="A125" s="7" t="s">
        <v>139</v>
      </c>
      <c r="B125" s="2">
        <v>7.3099999999999997E-3</v>
      </c>
      <c r="C125" s="2">
        <v>1.09E-2</v>
      </c>
      <c r="D125" s="5"/>
      <c r="E125" s="5"/>
      <c r="F125" s="2">
        <v>1.7500000000000002E-2</v>
      </c>
      <c r="G125" s="5"/>
      <c r="H125" s="2">
        <v>1.0200000000000001E-2</v>
      </c>
      <c r="I125" s="2">
        <v>1.0200000000000001E-2</v>
      </c>
      <c r="J125" s="5"/>
      <c r="K125" s="2">
        <v>1.7500000000000002E-2</v>
      </c>
      <c r="L125" s="2">
        <v>5.0999999999999997E-2</v>
      </c>
      <c r="M125" s="2">
        <v>3.2300000000000002E-2</v>
      </c>
      <c r="N125" s="2">
        <v>5.4900000000000001E-3</v>
      </c>
      <c r="O125" s="2">
        <v>4.9100000000000003E-3</v>
      </c>
      <c r="P125" s="2">
        <v>5.0600000000000003E-3</v>
      </c>
      <c r="Q125" s="2">
        <v>8.4100000000000008E-3</v>
      </c>
      <c r="R125" s="2">
        <v>5.8599999999999998E-3</v>
      </c>
      <c r="S125" s="2">
        <v>1.2500000000000001E-2</v>
      </c>
      <c r="T125" s="5"/>
      <c r="U125" s="2">
        <v>1.77E-2</v>
      </c>
      <c r="V125" s="2">
        <v>2.1899999999999999E-2</v>
      </c>
      <c r="W125" s="2">
        <v>8.4899999999999993E-3</v>
      </c>
      <c r="X125" s="2">
        <v>8.0499999999999999E-3</v>
      </c>
      <c r="Y125" s="2">
        <v>7.9799999999999992E-3</v>
      </c>
      <c r="Z125" s="2">
        <v>2.1299999999999999E-2</v>
      </c>
      <c r="AA125" s="2">
        <v>1.1299999999999999E-2</v>
      </c>
      <c r="AB125" s="2">
        <v>9.8300000000000002E-3</v>
      </c>
      <c r="AC125" s="5"/>
      <c r="AD125" s="5"/>
      <c r="AE125" s="2">
        <v>8.0700000000000008E-3</v>
      </c>
    </row>
    <row r="126" spans="1:31">
      <c r="A126" s="7" t="s">
        <v>506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>
      <c r="A127" s="7" t="s">
        <v>507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>
      <c r="A128" s="7" t="s">
        <v>508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>
      <c r="A129" s="7" t="s">
        <v>509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>
      <c r="A130" s="7" t="s">
        <v>140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>
      <c r="A131" s="7" t="s">
        <v>141</v>
      </c>
      <c r="B131" s="5"/>
      <c r="C131" s="5"/>
      <c r="D131" s="5"/>
      <c r="E131" s="2">
        <v>1.87</v>
      </c>
      <c r="F131" s="2">
        <v>0.26300000000000001</v>
      </c>
      <c r="G131" s="5"/>
      <c r="H131" s="5"/>
      <c r="I131" s="5"/>
      <c r="J131" s="5"/>
      <c r="K131" s="2">
        <v>0.28100000000000003</v>
      </c>
      <c r="L131" s="5"/>
      <c r="M131" s="5"/>
      <c r="N131" s="5"/>
      <c r="O131" s="5"/>
      <c r="P131" s="5"/>
      <c r="Q131" s="2">
        <v>0.29299999999999998</v>
      </c>
      <c r="R131" s="5"/>
      <c r="S131" s="5"/>
      <c r="T131" s="5"/>
      <c r="U131" s="2">
        <v>2.2599999999999999E-2</v>
      </c>
      <c r="V131" s="5"/>
      <c r="W131" s="5"/>
      <c r="X131" s="5"/>
      <c r="Y131" s="2">
        <v>2.5600000000000002E-3</v>
      </c>
      <c r="Z131" s="5"/>
      <c r="AA131" s="5"/>
      <c r="AB131" s="5"/>
      <c r="AC131" s="5"/>
      <c r="AD131" s="2">
        <v>0.13</v>
      </c>
      <c r="AE131" s="5"/>
    </row>
    <row r="132" spans="1:31">
      <c r="A132" s="7" t="s">
        <v>142</v>
      </c>
      <c r="B132" s="3"/>
      <c r="C132" s="3"/>
      <c r="D132" s="3"/>
      <c r="E132" s="4">
        <v>0.48499999999999999</v>
      </c>
      <c r="F132" s="3"/>
      <c r="G132" s="3"/>
      <c r="H132" s="3"/>
      <c r="I132" s="3"/>
      <c r="J132" s="3"/>
      <c r="K132" s="4">
        <v>6.1199999999999997E-2</v>
      </c>
      <c r="L132" s="3"/>
      <c r="M132" s="3"/>
      <c r="N132" s="3"/>
      <c r="O132" s="3"/>
      <c r="P132" s="3"/>
      <c r="Q132" s="4">
        <v>6.1499999999999999E-2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>
      <c r="A133" s="7" t="s">
        <v>510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>
      <c r="A134" s="7" t="s">
        <v>511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>
      <c r="A135" s="7" t="s">
        <v>512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>
      <c r="A136" s="7" t="s">
        <v>513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>
      <c r="A137" s="7" t="s">
        <v>514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>
      <c r="A138" s="7" t="s">
        <v>515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>
      <c r="A139" s="7" t="s">
        <v>516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>
      <c r="A140" s="7" t="s">
        <v>517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>
      <c r="A141" s="7" t="s">
        <v>143</v>
      </c>
      <c r="B141" s="5"/>
      <c r="C141" s="2">
        <v>5.4600000000000003E-2</v>
      </c>
      <c r="D141" s="2">
        <v>0.10299999999999999</v>
      </c>
      <c r="E141" s="5"/>
      <c r="F141" s="5"/>
      <c r="G141" s="5"/>
      <c r="H141" s="2">
        <v>4.5600000000000002E-2</v>
      </c>
      <c r="I141" s="2">
        <v>1.84E-2</v>
      </c>
      <c r="J141" s="2">
        <v>0.13500000000000001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2">
        <v>2.8199999999999999E-2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>
      <c r="A142" s="7" t="s">
        <v>518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>
      <c r="A143" s="7" t="s">
        <v>519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>
      <c r="A144" s="7" t="s">
        <v>144</v>
      </c>
      <c r="B144" s="4">
        <v>2.5100000000000001E-3</v>
      </c>
      <c r="C144" s="4">
        <v>8.2699999999999996E-3</v>
      </c>
      <c r="D144" s="4">
        <v>2.5100000000000001E-3</v>
      </c>
      <c r="E144" s="4">
        <v>8.2000000000000007E-3</v>
      </c>
      <c r="F144" s="4">
        <v>8.1099999999999992E-3</v>
      </c>
      <c r="G144" s="4">
        <v>2.0500000000000002E-3</v>
      </c>
      <c r="H144" s="4">
        <v>2.7100000000000002E-3</v>
      </c>
      <c r="I144" s="4">
        <v>4.6499999999999996E-3</v>
      </c>
      <c r="J144" s="4">
        <v>5.2700000000000004E-3</v>
      </c>
      <c r="K144" s="4">
        <v>7.5799999999999999E-3</v>
      </c>
      <c r="L144" s="3"/>
      <c r="M144" s="4">
        <v>1.14E-3</v>
      </c>
      <c r="N144" s="4">
        <v>2.82E-3</v>
      </c>
      <c r="O144" s="4">
        <v>2.3600000000000001E-3</v>
      </c>
      <c r="P144" s="4">
        <v>2.8E-3</v>
      </c>
      <c r="Q144" s="3"/>
      <c r="R144" s="4">
        <v>1.8400000000000001E-3</v>
      </c>
      <c r="S144" s="4">
        <v>7.8299999999999995E-4</v>
      </c>
      <c r="T144" s="3"/>
      <c r="U144" s="3"/>
      <c r="V144" s="3"/>
      <c r="W144" s="3"/>
      <c r="X144" s="3"/>
      <c r="Y144" s="3"/>
      <c r="Z144" s="3"/>
      <c r="AA144" s="3"/>
      <c r="AB144" s="4">
        <v>2.32E-3</v>
      </c>
      <c r="AC144" s="3"/>
      <c r="AD144" s="4">
        <v>5.8100000000000001E-3</v>
      </c>
      <c r="AE144" s="3"/>
    </row>
    <row r="145" spans="1:31">
      <c r="A145" s="7" t="s">
        <v>520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>
      <c r="A146" s="7" t="s">
        <v>521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>
      <c r="A147" s="7" t="s">
        <v>522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>
      <c r="A148" s="7" t="s">
        <v>523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>
      <c r="A149" s="7" t="s">
        <v>524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>
      <c r="A150" s="7" t="s">
        <v>145</v>
      </c>
      <c r="B150" s="4">
        <v>2.64E-3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">
        <v>2.3800000000000002E-3</v>
      </c>
      <c r="N150" s="4">
        <v>1.6000000000000001E-3</v>
      </c>
      <c r="O150" s="4">
        <v>1.8600000000000001E-3</v>
      </c>
      <c r="P150" s="4">
        <v>1.48E-3</v>
      </c>
      <c r="Q150" s="3"/>
      <c r="R150" s="3"/>
      <c r="S150" s="4">
        <v>1.6199999999999999E-3</v>
      </c>
      <c r="T150" s="3"/>
      <c r="U150" s="3"/>
      <c r="V150" s="3"/>
      <c r="W150" s="3"/>
      <c r="X150" s="3"/>
      <c r="Y150" s="3"/>
      <c r="Z150" s="3"/>
      <c r="AA150" s="3"/>
      <c r="AB150" s="4">
        <v>2.31E-3</v>
      </c>
      <c r="AC150" s="3"/>
      <c r="AD150" s="3"/>
      <c r="AE150" s="3"/>
    </row>
    <row r="151" spans="1:31">
      <c r="A151" s="7" t="s">
        <v>525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>
      <c r="A152" s="7" t="s">
        <v>526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>
      <c r="A153" s="7" t="s">
        <v>527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>
      <c r="A154" s="7" t="s">
        <v>528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>
      <c r="A155" s="7" t="s">
        <v>146</v>
      </c>
      <c r="B155" s="2">
        <v>1.7100000000000001E-2</v>
      </c>
      <c r="C155" s="2">
        <v>1.9099999999999999E-2</v>
      </c>
      <c r="D155" s="2">
        <v>8.8500000000000002E-3</v>
      </c>
      <c r="E155" s="5"/>
      <c r="F155" s="5"/>
      <c r="G155" s="2">
        <v>2.8400000000000002E-2</v>
      </c>
      <c r="H155" s="2">
        <v>3.8300000000000001E-2</v>
      </c>
      <c r="I155" s="2">
        <v>3.1899999999999998E-2</v>
      </c>
      <c r="J155" s="2">
        <v>3.6400000000000002E-2</v>
      </c>
      <c r="K155" s="2">
        <v>6.8000000000000005E-2</v>
      </c>
      <c r="L155" s="5"/>
      <c r="M155" s="2">
        <v>1.4800000000000001E-2</v>
      </c>
      <c r="N155" s="2">
        <v>7.7200000000000003E-3</v>
      </c>
      <c r="O155" s="2">
        <v>1.09E-2</v>
      </c>
      <c r="P155" s="2">
        <v>1.46E-2</v>
      </c>
      <c r="Q155" s="5"/>
      <c r="R155" s="2">
        <v>2.6700000000000002E-2</v>
      </c>
      <c r="S155" s="2">
        <v>4.6800000000000001E-2</v>
      </c>
      <c r="T155" s="2">
        <v>3.6999999999999998E-2</v>
      </c>
      <c r="U155" s="2">
        <v>5.9799999999999999E-2</v>
      </c>
      <c r="V155" s="2">
        <v>9.8599999999999993E-2</v>
      </c>
      <c r="W155" s="2">
        <v>4.8500000000000001E-2</v>
      </c>
      <c r="X155" s="2">
        <v>4.4400000000000002E-2</v>
      </c>
      <c r="Y155" s="2">
        <v>8.14E-2</v>
      </c>
      <c r="Z155" s="2">
        <v>9.6799999999999997E-2</v>
      </c>
      <c r="AA155" s="2">
        <v>6.7299999999999999E-2</v>
      </c>
      <c r="AB155" s="2">
        <v>1.8599999999999998E-2</v>
      </c>
      <c r="AC155" s="5"/>
      <c r="AD155" s="2">
        <v>9.5000000000000001E-2</v>
      </c>
      <c r="AE155" s="2">
        <v>4.07E-2</v>
      </c>
    </row>
    <row r="156" spans="1:31">
      <c r="A156" s="7" t="s">
        <v>529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>
      <c r="A157" s="7" t="s">
        <v>147</v>
      </c>
      <c r="B157" s="2">
        <v>1.6799999999999999E-2</v>
      </c>
      <c r="C157" s="2">
        <v>1.7299999999999999E-2</v>
      </c>
      <c r="D157" s="5"/>
      <c r="E157" s="2">
        <v>1.44E-2</v>
      </c>
      <c r="F157" s="2">
        <v>2.6800000000000001E-2</v>
      </c>
      <c r="G157" s="2">
        <v>2.01E-2</v>
      </c>
      <c r="H157" s="2">
        <v>1.9E-2</v>
      </c>
      <c r="I157" s="2">
        <v>1.9300000000000001E-2</v>
      </c>
      <c r="J157" s="2">
        <v>3.8100000000000002E-2</v>
      </c>
      <c r="K157" s="2">
        <v>1.2800000000000001E-2</v>
      </c>
      <c r="L157" s="5"/>
      <c r="M157" s="2">
        <v>1.6799999999999999E-2</v>
      </c>
      <c r="N157" s="2">
        <v>1.5100000000000001E-2</v>
      </c>
      <c r="O157" s="2">
        <v>1.0200000000000001E-2</v>
      </c>
      <c r="P157" s="2">
        <v>1.2999999999999999E-2</v>
      </c>
      <c r="Q157" s="2">
        <v>1.11E-2</v>
      </c>
      <c r="R157" s="2">
        <v>0.02</v>
      </c>
      <c r="S157" s="2">
        <v>2.1999999999999999E-2</v>
      </c>
      <c r="T157" s="2">
        <v>5.6599999999999998E-2</v>
      </c>
      <c r="U157" s="2">
        <v>1.8599999999999998E-2</v>
      </c>
      <c r="V157" s="2">
        <v>1.9E-2</v>
      </c>
      <c r="W157" s="2">
        <v>2.9100000000000001E-2</v>
      </c>
      <c r="X157" s="2">
        <v>1.8700000000000001E-2</v>
      </c>
      <c r="Y157" s="2">
        <v>2.0400000000000001E-2</v>
      </c>
      <c r="Z157" s="2">
        <v>1.7600000000000001E-2</v>
      </c>
      <c r="AA157" s="2">
        <v>1.7999999999999999E-2</v>
      </c>
      <c r="AB157" s="2">
        <v>1.23E-2</v>
      </c>
      <c r="AC157" s="2">
        <v>5.8000000000000003E-2</v>
      </c>
      <c r="AD157" s="2">
        <v>1.66E-2</v>
      </c>
      <c r="AE157" s="2">
        <v>1.67E-2</v>
      </c>
    </row>
    <row r="158" spans="1:31">
      <c r="A158" s="7" t="s">
        <v>530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>
      <c r="A159" s="7" t="s">
        <v>531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>
      <c r="A160" s="7" t="s">
        <v>532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>
      <c r="A161" s="7" t="s">
        <v>148</v>
      </c>
      <c r="B161" s="2">
        <v>8.3199999999999996E-2</v>
      </c>
      <c r="C161" s="2">
        <v>5.2999999999999999E-2</v>
      </c>
      <c r="D161" s="2">
        <v>5.1999999999999998E-2</v>
      </c>
      <c r="E161" s="2">
        <v>0.29699999999999999</v>
      </c>
      <c r="F161" s="2">
        <v>0.60199999999999998</v>
      </c>
      <c r="G161" s="2">
        <v>0.221</v>
      </c>
      <c r="H161" s="2">
        <v>9.3200000000000005E-2</v>
      </c>
      <c r="I161" s="2">
        <v>6.7199999999999996E-2</v>
      </c>
      <c r="J161" s="2">
        <v>0.106</v>
      </c>
      <c r="K161" s="2">
        <v>7.0099999999999996E-2</v>
      </c>
      <c r="L161" s="5"/>
      <c r="M161" s="2">
        <v>9.4100000000000003E-2</v>
      </c>
      <c r="N161" s="2">
        <v>8.3500000000000005E-2</v>
      </c>
      <c r="O161" s="2">
        <v>0.108</v>
      </c>
      <c r="P161" s="2">
        <v>0.109</v>
      </c>
      <c r="Q161" s="2">
        <v>7.0999999999999994E-2</v>
      </c>
      <c r="R161" s="2">
        <v>4.1300000000000003E-2</v>
      </c>
      <c r="S161" s="2">
        <v>4.1099999999999998E-2</v>
      </c>
      <c r="T161" s="2">
        <v>6.46</v>
      </c>
      <c r="U161" s="2">
        <v>0.36599999999999999</v>
      </c>
      <c r="V161" s="2">
        <v>0.36499999999999999</v>
      </c>
      <c r="W161" s="2">
        <v>0.54</v>
      </c>
      <c r="X161" s="2">
        <v>0.192</v>
      </c>
      <c r="Y161" s="2">
        <v>0.29899999999999999</v>
      </c>
      <c r="Z161" s="2">
        <v>0.57999999999999996</v>
      </c>
      <c r="AA161" s="2">
        <v>0.255</v>
      </c>
      <c r="AB161" s="2">
        <v>9.8299999999999998E-2</v>
      </c>
      <c r="AC161" s="2">
        <v>7.8200000000000006E-2</v>
      </c>
      <c r="AD161" s="2">
        <v>0.114</v>
      </c>
      <c r="AE161" s="2">
        <v>9.3299999999999994E-2</v>
      </c>
    </row>
    <row r="162" spans="1:31">
      <c r="A162" s="7" t="s">
        <v>149</v>
      </c>
      <c r="B162" s="4">
        <v>8.0199999999999994E-3</v>
      </c>
      <c r="C162" s="4">
        <v>1.37E-2</v>
      </c>
      <c r="D162" s="3"/>
      <c r="E162" s="3"/>
      <c r="F162" s="4">
        <v>0.18</v>
      </c>
      <c r="G162" s="3"/>
      <c r="H162" s="3"/>
      <c r="I162" s="3"/>
      <c r="J162" s="3"/>
      <c r="K162" s="3"/>
      <c r="L162" s="3"/>
      <c r="M162" s="4">
        <v>1.2800000000000001E-2</v>
      </c>
      <c r="N162" s="4">
        <v>6.8300000000000001E-3</v>
      </c>
      <c r="O162" s="4">
        <v>6.8500000000000002E-3</v>
      </c>
      <c r="P162" s="4">
        <v>1.15E-2</v>
      </c>
      <c r="Q162" s="3"/>
      <c r="R162" s="3"/>
      <c r="S162" s="4">
        <v>1.89E-2</v>
      </c>
      <c r="T162" s="4">
        <v>0.69199999999999995</v>
      </c>
      <c r="U162" s="4">
        <v>0.10199999999999999</v>
      </c>
      <c r="V162" s="4">
        <v>0.11600000000000001</v>
      </c>
      <c r="W162" s="4">
        <v>0.18099999999999999</v>
      </c>
      <c r="X162" s="4">
        <v>7.1499999999999994E-2</v>
      </c>
      <c r="Y162" s="4">
        <v>0.107</v>
      </c>
      <c r="Z162" s="4">
        <v>0.17699999999999999</v>
      </c>
      <c r="AA162" s="4">
        <v>6.9199999999999998E-2</v>
      </c>
      <c r="AB162" s="4">
        <v>1.2699999999999999E-2</v>
      </c>
      <c r="AC162" s="3"/>
      <c r="AD162" s="4">
        <v>2.6800000000000001E-2</v>
      </c>
      <c r="AE162" s="3"/>
    </row>
    <row r="163" spans="1:31">
      <c r="A163" s="7" t="s">
        <v>150</v>
      </c>
      <c r="B163" s="2">
        <v>4.45E-3</v>
      </c>
      <c r="C163" s="2">
        <v>6.5199999999999998E-3</v>
      </c>
      <c r="D163" s="2">
        <v>2.2699999999999999E-3</v>
      </c>
      <c r="E163" s="5"/>
      <c r="F163" s="5"/>
      <c r="G163" s="2">
        <v>1.57E-3</v>
      </c>
      <c r="H163" s="5"/>
      <c r="I163" s="2">
        <v>2.81E-3</v>
      </c>
      <c r="J163" s="5"/>
      <c r="K163" s="5"/>
      <c r="L163" s="5"/>
      <c r="M163" s="2">
        <v>2.8400000000000001E-3</v>
      </c>
      <c r="N163" s="2">
        <v>4.3E-3</v>
      </c>
      <c r="O163" s="2">
        <v>4.2399999999999998E-3</v>
      </c>
      <c r="P163" s="2">
        <v>3.9399999999999999E-3</v>
      </c>
      <c r="Q163" s="2">
        <v>3.7799999999999999E-3</v>
      </c>
      <c r="R163" s="2">
        <v>1.41E-3</v>
      </c>
      <c r="S163" s="2">
        <v>1.23E-3</v>
      </c>
      <c r="T163" s="2">
        <v>2.2799999999999999E-3</v>
      </c>
      <c r="U163" s="2">
        <v>5.0800000000000003E-3</v>
      </c>
      <c r="V163" s="2">
        <v>1.7799999999999999E-3</v>
      </c>
      <c r="W163" s="2">
        <v>1.6100000000000001E-3</v>
      </c>
      <c r="X163" s="5"/>
      <c r="Y163" s="5"/>
      <c r="Z163" s="5"/>
      <c r="AA163" s="5"/>
      <c r="AB163" s="2">
        <v>3.46E-3</v>
      </c>
      <c r="AC163" s="5"/>
      <c r="AD163" s="5"/>
      <c r="AE163" s="5"/>
    </row>
    <row r="164" spans="1:31">
      <c r="A164" s="7" t="s">
        <v>533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>
      <c r="A165" s="7" t="s">
        <v>151</v>
      </c>
      <c r="B165" s="2">
        <v>2.1499999999999998E-2</v>
      </c>
      <c r="C165" s="2">
        <v>2.1499999999999998E-2</v>
      </c>
      <c r="D165" s="2">
        <v>1.03E-2</v>
      </c>
      <c r="E165" s="5"/>
      <c r="F165" s="5"/>
      <c r="G165" s="5"/>
      <c r="H165" s="2">
        <v>2.0799999999999999E-2</v>
      </c>
      <c r="I165" s="2">
        <v>2.01E-2</v>
      </c>
      <c r="J165" s="2">
        <v>2.87E-2</v>
      </c>
      <c r="K165" s="2">
        <v>1.6899999999999998E-2</v>
      </c>
      <c r="L165" s="5"/>
      <c r="M165" s="2">
        <v>2.9899999999999999E-2</v>
      </c>
      <c r="N165" s="2">
        <v>1.09E-2</v>
      </c>
      <c r="O165" s="2">
        <v>6.5199999999999998E-3</v>
      </c>
      <c r="P165" s="2">
        <v>1.9300000000000001E-2</v>
      </c>
      <c r="Q165" s="5"/>
      <c r="R165" s="5"/>
      <c r="S165" s="2">
        <v>3.4599999999999999E-2</v>
      </c>
      <c r="T165" s="2">
        <v>2.3900000000000001E-2</v>
      </c>
      <c r="U165" s="2">
        <v>1.2500000000000001E-2</v>
      </c>
      <c r="V165" s="2">
        <v>1.9400000000000001E-2</v>
      </c>
      <c r="W165" s="2">
        <v>3.5200000000000002E-2</v>
      </c>
      <c r="X165" s="2">
        <v>2.07E-2</v>
      </c>
      <c r="Y165" s="2">
        <v>3.6799999999999999E-2</v>
      </c>
      <c r="Z165" s="2">
        <v>5.16E-2</v>
      </c>
      <c r="AA165" s="2">
        <v>2.3599999999999999E-2</v>
      </c>
      <c r="AB165" s="2">
        <v>8.8300000000000003E-2</v>
      </c>
      <c r="AC165" s="5"/>
      <c r="AD165" s="5"/>
      <c r="AE165" s="5"/>
    </row>
    <row r="166" spans="1:31">
      <c r="A166" s="7" t="s">
        <v>534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>
      <c r="A167" s="7" t="s">
        <v>152</v>
      </c>
      <c r="B167" s="2">
        <v>0.157</v>
      </c>
      <c r="C167" s="5"/>
      <c r="D167" s="2">
        <v>0.17699999999999999</v>
      </c>
      <c r="E167" s="5"/>
      <c r="F167" s="5"/>
      <c r="G167" s="5"/>
      <c r="H167" s="2">
        <v>0.22900000000000001</v>
      </c>
      <c r="I167" s="2">
        <v>0.26500000000000001</v>
      </c>
      <c r="J167" s="2">
        <v>0.22</v>
      </c>
      <c r="K167" s="2">
        <v>4.9000000000000002E-2</v>
      </c>
      <c r="L167" s="5"/>
      <c r="M167" s="2">
        <v>0.21</v>
      </c>
      <c r="N167" s="2">
        <v>0.14499999999999999</v>
      </c>
      <c r="O167" s="2">
        <v>0.15</v>
      </c>
      <c r="P167" s="2">
        <v>0.17399999999999999</v>
      </c>
      <c r="Q167" s="5"/>
      <c r="R167" s="5"/>
      <c r="S167" s="2">
        <v>0.187</v>
      </c>
      <c r="T167" s="2">
        <v>0.55100000000000005</v>
      </c>
      <c r="U167" s="2">
        <v>0.31900000000000001</v>
      </c>
      <c r="V167" s="2">
        <v>0.40799999999999997</v>
      </c>
      <c r="W167" s="2">
        <v>0.41599999999999998</v>
      </c>
      <c r="X167" s="2">
        <v>0.20300000000000001</v>
      </c>
      <c r="Y167" s="2">
        <v>0.34799999999999998</v>
      </c>
      <c r="Z167" s="2">
        <v>0.437</v>
      </c>
      <c r="AA167" s="5"/>
      <c r="AB167" s="2">
        <v>0.24399999999999999</v>
      </c>
      <c r="AC167" s="5"/>
      <c r="AD167" s="5"/>
      <c r="AE167" s="5"/>
    </row>
    <row r="168" spans="1:31">
      <c r="A168" s="7" t="s">
        <v>153</v>
      </c>
      <c r="B168" s="4">
        <v>0.628</v>
      </c>
      <c r="C168" s="4">
        <v>0.31</v>
      </c>
      <c r="D168" s="4">
        <v>0.21199999999999999</v>
      </c>
      <c r="E168" s="3"/>
      <c r="F168" s="4">
        <v>1.5</v>
      </c>
      <c r="G168" s="4">
        <v>0.29699999999999999</v>
      </c>
      <c r="H168" s="4">
        <v>0.374</v>
      </c>
      <c r="I168" s="4">
        <v>0.377</v>
      </c>
      <c r="J168" s="4">
        <v>0.377</v>
      </c>
      <c r="K168" s="4">
        <v>0.41299999999999998</v>
      </c>
      <c r="L168" s="3"/>
      <c r="M168" s="4">
        <v>0.73799999999999999</v>
      </c>
      <c r="N168" s="4">
        <v>0.51100000000000001</v>
      </c>
      <c r="O168" s="4">
        <v>0.46400000000000002</v>
      </c>
      <c r="P168" s="4">
        <v>0.59</v>
      </c>
      <c r="Q168" s="4">
        <v>0.41099999999999998</v>
      </c>
      <c r="R168" s="4">
        <v>0.18099999999999999</v>
      </c>
      <c r="S168" s="4">
        <v>0.77700000000000002</v>
      </c>
      <c r="T168" s="4">
        <v>0.65800000000000003</v>
      </c>
      <c r="U168" s="4">
        <v>0.41299999999999998</v>
      </c>
      <c r="V168" s="4">
        <v>0.60799999999999998</v>
      </c>
      <c r="W168" s="4">
        <v>0.41399999999999998</v>
      </c>
      <c r="X168" s="4">
        <v>0.56899999999999995</v>
      </c>
      <c r="Y168" s="4">
        <v>0.69399999999999995</v>
      </c>
      <c r="Z168" s="4">
        <v>0.82299999999999995</v>
      </c>
      <c r="AA168" s="4">
        <v>0.40200000000000002</v>
      </c>
      <c r="AB168" s="4">
        <v>0.60399999999999998</v>
      </c>
      <c r="AC168" s="4">
        <v>0.34</v>
      </c>
      <c r="AD168" s="4">
        <v>0.70799999999999996</v>
      </c>
      <c r="AE168" s="4">
        <v>0.49399999999999999</v>
      </c>
    </row>
    <row r="169" spans="1:31">
      <c r="A169" s="7" t="s">
        <v>154</v>
      </c>
      <c r="B169" s="2">
        <v>2.2499999999999999E-2</v>
      </c>
      <c r="C169" s="2">
        <v>1.2E-2</v>
      </c>
      <c r="D169" s="2">
        <v>7.3499999999999998E-3</v>
      </c>
      <c r="E169" s="5"/>
      <c r="F169" s="2">
        <v>0.30099999999999999</v>
      </c>
      <c r="G169" s="2">
        <v>7.6100000000000001E-2</v>
      </c>
      <c r="H169" s="2">
        <v>4.5600000000000002E-2</v>
      </c>
      <c r="I169" s="2">
        <v>3.2399999999999998E-2</v>
      </c>
      <c r="J169" s="2">
        <v>1.55E-2</v>
      </c>
      <c r="K169" s="2">
        <v>7.1800000000000003E-2</v>
      </c>
      <c r="L169" s="5"/>
      <c r="M169" s="2">
        <v>0.04</v>
      </c>
      <c r="N169" s="2">
        <v>2.0400000000000001E-2</v>
      </c>
      <c r="O169" s="2">
        <v>1.6899999999999998E-2</v>
      </c>
      <c r="P169" s="2">
        <v>2.9000000000000001E-2</v>
      </c>
      <c r="Q169" s="2">
        <v>0.16400000000000001</v>
      </c>
      <c r="R169" s="2">
        <v>8.9399999999999993E-2</v>
      </c>
      <c r="S169" s="2">
        <v>6.4100000000000004E-2</v>
      </c>
      <c r="T169" s="2">
        <v>0.157</v>
      </c>
      <c r="U169" s="2">
        <v>7.2300000000000003E-2</v>
      </c>
      <c r="V169" s="2">
        <v>6.6699999999999995E-2</v>
      </c>
      <c r="W169" s="2">
        <v>7.9799999999999996E-2</v>
      </c>
      <c r="X169" s="2">
        <v>3.6499999999999998E-2</v>
      </c>
      <c r="Y169" s="2">
        <v>8.7599999999999997E-2</v>
      </c>
      <c r="Z169" s="2">
        <v>7.0000000000000007E-2</v>
      </c>
      <c r="AA169" s="2">
        <v>1.4999999999999999E-2</v>
      </c>
      <c r="AB169" s="2">
        <v>3.1699999999999999E-2</v>
      </c>
      <c r="AC169" s="2">
        <v>3.3399999999999999E-2</v>
      </c>
      <c r="AD169" s="2">
        <v>0.107</v>
      </c>
      <c r="AE169" s="2">
        <v>0.13100000000000001</v>
      </c>
    </row>
    <row r="170" spans="1:31">
      <c r="A170" s="7" t="s">
        <v>155</v>
      </c>
      <c r="B170" s="4">
        <v>2.2800000000000001E-2</v>
      </c>
      <c r="C170" s="4">
        <v>3.2500000000000001E-2</v>
      </c>
      <c r="D170" s="4">
        <v>1.2699999999999999E-2</v>
      </c>
      <c r="E170" s="3"/>
      <c r="F170" s="4">
        <v>0.88400000000000001</v>
      </c>
      <c r="G170" s="4">
        <v>0.21299999999999999</v>
      </c>
      <c r="H170" s="4">
        <v>5.0200000000000002E-2</v>
      </c>
      <c r="I170" s="4">
        <v>3.39E-2</v>
      </c>
      <c r="J170" s="4">
        <v>6.5500000000000003E-2</v>
      </c>
      <c r="K170" s="4">
        <v>1.9300000000000001E-2</v>
      </c>
      <c r="L170" s="3"/>
      <c r="M170" s="4">
        <v>5.45E-2</v>
      </c>
      <c r="N170" s="4">
        <v>5.0599999999999999E-2</v>
      </c>
      <c r="O170" s="4">
        <v>6.6600000000000006E-2</v>
      </c>
      <c r="P170" s="4">
        <v>4.82E-2</v>
      </c>
      <c r="Q170" s="4">
        <v>6.8000000000000005E-2</v>
      </c>
      <c r="R170" s="4">
        <v>1.5299999999999999E-2</v>
      </c>
      <c r="S170" s="4">
        <v>3.5299999999999998E-2</v>
      </c>
      <c r="T170" s="4">
        <v>0.63500000000000001</v>
      </c>
      <c r="U170" s="4">
        <v>0.14899999999999999</v>
      </c>
      <c r="V170" s="4">
        <v>0.21099999999999999</v>
      </c>
      <c r="W170" s="4">
        <v>0.105</v>
      </c>
      <c r="X170" s="4">
        <v>7.4499999999999997E-2</v>
      </c>
      <c r="Y170" s="4">
        <v>7.6200000000000004E-2</v>
      </c>
      <c r="Z170" s="4">
        <v>8.4599999999999995E-2</v>
      </c>
      <c r="AA170" s="4">
        <v>5.45E-2</v>
      </c>
      <c r="AB170" s="4">
        <v>4.4999999999999998E-2</v>
      </c>
      <c r="AC170" s="4">
        <v>5.5100000000000003E-2</v>
      </c>
      <c r="AD170" s="4">
        <v>3.9E-2</v>
      </c>
      <c r="AE170" s="4">
        <v>2.5899999999999999E-2</v>
      </c>
    </row>
    <row r="171" spans="1:31">
      <c r="A171" s="7" t="s">
        <v>156</v>
      </c>
      <c r="B171" s="2">
        <v>0.13800000000000001</v>
      </c>
      <c r="C171" s="2">
        <v>7.3999999999999996E-2</v>
      </c>
      <c r="D171" s="2">
        <v>4.9000000000000002E-2</v>
      </c>
      <c r="E171" s="2">
        <v>8.7999999999999995E-2</v>
      </c>
      <c r="F171" s="2">
        <v>2.95</v>
      </c>
      <c r="G171" s="2">
        <v>0.85299999999999998</v>
      </c>
      <c r="H171" s="2">
        <v>0.193</v>
      </c>
      <c r="I171" s="2">
        <v>0.13500000000000001</v>
      </c>
      <c r="J171" s="2">
        <v>0.24</v>
      </c>
      <c r="K171" s="2">
        <v>0.113</v>
      </c>
      <c r="L171" s="2">
        <v>0.182</v>
      </c>
      <c r="M171" s="2">
        <v>0.16400000000000001</v>
      </c>
      <c r="N171" s="2">
        <v>0.17899999999999999</v>
      </c>
      <c r="O171" s="2">
        <v>0.248</v>
      </c>
      <c r="P171" s="2">
        <v>0.16</v>
      </c>
      <c r="Q171" s="2">
        <v>0.315</v>
      </c>
      <c r="R171" s="2">
        <v>0.112</v>
      </c>
      <c r="S171" s="2">
        <v>0.245</v>
      </c>
      <c r="T171" s="2">
        <v>0.80800000000000005</v>
      </c>
      <c r="U171" s="2">
        <v>0.28899999999999998</v>
      </c>
      <c r="V171" s="2">
        <v>0.29499999999999998</v>
      </c>
      <c r="W171" s="2">
        <v>0.216</v>
      </c>
      <c r="X171" s="2">
        <v>0.112</v>
      </c>
      <c r="Y171" s="2">
        <v>0.246</v>
      </c>
      <c r="Z171" s="2">
        <v>0.22900000000000001</v>
      </c>
      <c r="AA171" s="2">
        <v>0.129</v>
      </c>
      <c r="AB171" s="2">
        <v>0.185</v>
      </c>
      <c r="AC171" s="2">
        <v>0.18</v>
      </c>
      <c r="AD171" s="2">
        <v>0.246</v>
      </c>
      <c r="AE171" s="2">
        <v>0.16500000000000001</v>
      </c>
    </row>
    <row r="172" spans="1:31">
      <c r="A172" s="7" t="s">
        <v>157</v>
      </c>
      <c r="B172" s="4">
        <v>5.0500000000000003E-2</v>
      </c>
      <c r="C172" s="4">
        <v>2.6599999999999999E-2</v>
      </c>
      <c r="D172" s="4">
        <v>1.8599999999999998E-2</v>
      </c>
      <c r="E172" s="4">
        <v>0.192</v>
      </c>
      <c r="F172" s="4">
        <v>2.57</v>
      </c>
      <c r="G172" s="4">
        <v>0.35399999999999998</v>
      </c>
      <c r="H172" s="4">
        <v>8.1199999999999994E-2</v>
      </c>
      <c r="I172" s="4">
        <v>5.0500000000000003E-2</v>
      </c>
      <c r="J172" s="4">
        <v>0.107</v>
      </c>
      <c r="K172" s="3"/>
      <c r="L172" s="4">
        <v>7.2400000000000006E-2</v>
      </c>
      <c r="M172" s="4">
        <v>8.2199999999999995E-2</v>
      </c>
      <c r="N172" s="4">
        <v>6.5000000000000002E-2</v>
      </c>
      <c r="O172" s="4">
        <v>8.9499999999999996E-2</v>
      </c>
      <c r="P172" s="4">
        <v>7.4300000000000005E-2</v>
      </c>
      <c r="Q172" s="3"/>
      <c r="R172" s="4">
        <v>4.65E-2</v>
      </c>
      <c r="S172" s="4">
        <v>5.2400000000000002E-2</v>
      </c>
      <c r="T172" s="4">
        <v>0.747</v>
      </c>
      <c r="U172" s="4">
        <v>4.3499999999999997E-2</v>
      </c>
      <c r="V172" s="4">
        <v>0.27</v>
      </c>
      <c r="W172" s="4">
        <v>0.09</v>
      </c>
      <c r="X172" s="4">
        <v>4.9299999999999997E-2</v>
      </c>
      <c r="Y172" s="4">
        <v>0.152</v>
      </c>
      <c r="Z172" s="4">
        <v>0.17299999999999999</v>
      </c>
      <c r="AA172" s="4">
        <v>5.3600000000000002E-2</v>
      </c>
      <c r="AB172" s="4">
        <v>7.17E-2</v>
      </c>
      <c r="AC172" s="4">
        <v>6.1199999999999997E-2</v>
      </c>
      <c r="AD172" s="4">
        <v>8.5800000000000001E-2</v>
      </c>
      <c r="AE172" s="4">
        <v>7.8700000000000006E-2</v>
      </c>
    </row>
    <row r="173" spans="1:31">
      <c r="A173" s="7" t="s">
        <v>158</v>
      </c>
      <c r="B173" s="2">
        <v>5.45E-3</v>
      </c>
      <c r="C173" s="5"/>
      <c r="D173" s="2">
        <v>2.6200000000000001E-2</v>
      </c>
      <c r="E173" s="5"/>
      <c r="F173" s="5"/>
      <c r="G173" s="5"/>
      <c r="H173" s="2">
        <v>1.8200000000000001E-2</v>
      </c>
      <c r="I173" s="2">
        <v>7.7600000000000004E-3</v>
      </c>
      <c r="J173" s="5"/>
      <c r="K173" s="5"/>
      <c r="L173" s="5"/>
      <c r="M173" s="2">
        <v>3.3600000000000001E-3</v>
      </c>
      <c r="N173" s="5"/>
      <c r="O173" s="5"/>
      <c r="P173" s="2">
        <v>6.7499999999999999E-3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2">
        <v>8.3199999999999993E-3</v>
      </c>
      <c r="AC173" s="5"/>
      <c r="AD173" s="5"/>
      <c r="AE173" s="5"/>
    </row>
    <row r="174" spans="1:31">
      <c r="A174" s="7" t="s">
        <v>159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4">
        <v>3.4700000000000002E-2</v>
      </c>
      <c r="AB174" s="3"/>
      <c r="AC174" s="3"/>
      <c r="AD174" s="3"/>
      <c r="AE174" s="3"/>
    </row>
    <row r="175" spans="1:31">
      <c r="A175" s="7" t="s">
        <v>160</v>
      </c>
      <c r="B175" s="5"/>
      <c r="C175" s="2">
        <v>7.7799999999999996E-3</v>
      </c>
      <c r="D175" s="5"/>
      <c r="E175" s="5"/>
      <c r="F175" s="5"/>
      <c r="G175" s="5"/>
      <c r="H175" s="5"/>
      <c r="I175" s="2">
        <v>1.3100000000000001E-2</v>
      </c>
      <c r="J175" s="5"/>
      <c r="K175" s="5"/>
      <c r="L175" s="5"/>
      <c r="M175" s="2">
        <v>2.0200000000000001E-3</v>
      </c>
      <c r="N175" s="5"/>
      <c r="O175" s="5"/>
      <c r="P175" s="5"/>
      <c r="Q175" s="5"/>
      <c r="R175" s="2">
        <v>4.6199999999999998E-2</v>
      </c>
      <c r="S175" s="2">
        <v>0.66800000000000004</v>
      </c>
      <c r="T175" s="2">
        <v>1.5900000000000001E-2</v>
      </c>
      <c r="U175" s="2">
        <v>1.67E-2</v>
      </c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>
      <c r="A176" s="7" t="s">
        <v>161</v>
      </c>
      <c r="B176" s="4">
        <v>0.13600000000000001</v>
      </c>
      <c r="C176" s="4">
        <v>8.8499999999999995E-2</v>
      </c>
      <c r="D176" s="4">
        <v>6.7799999999999999E-2</v>
      </c>
      <c r="E176" s="4">
        <v>0.21</v>
      </c>
      <c r="F176" s="4">
        <v>2.69</v>
      </c>
      <c r="G176" s="4">
        <v>0.86899999999999999</v>
      </c>
      <c r="H176" s="4">
        <v>0.18</v>
      </c>
      <c r="I176" s="4">
        <v>0.14599999999999999</v>
      </c>
      <c r="J176" s="4">
        <v>0.27200000000000002</v>
      </c>
      <c r="K176" s="4">
        <v>0.12</v>
      </c>
      <c r="L176" s="3"/>
      <c r="M176" s="4">
        <v>0.187</v>
      </c>
      <c r="N176" s="4">
        <v>0.10299999999999999</v>
      </c>
      <c r="O176" s="4">
        <v>0.16400000000000001</v>
      </c>
      <c r="P176" s="4">
        <v>0.17899999999999999</v>
      </c>
      <c r="Q176" s="4">
        <v>0.14599999999999999</v>
      </c>
      <c r="R176" s="4">
        <v>6.13E-2</v>
      </c>
      <c r="S176" s="4">
        <v>0.126</v>
      </c>
      <c r="T176" s="4">
        <v>0.33400000000000002</v>
      </c>
      <c r="U176" s="4">
        <v>0.34599999999999997</v>
      </c>
      <c r="V176" s="4">
        <v>0.26500000000000001</v>
      </c>
      <c r="W176" s="4">
        <v>0.14199999999999999</v>
      </c>
      <c r="X176" s="4">
        <v>0.122</v>
      </c>
      <c r="Y176" s="4">
        <v>0.34300000000000003</v>
      </c>
      <c r="Z176" s="4">
        <v>1.67</v>
      </c>
      <c r="AA176" s="4">
        <v>0.216</v>
      </c>
      <c r="AB176" s="4">
        <v>0.17799999999999999</v>
      </c>
      <c r="AC176" s="4">
        <v>0.33400000000000002</v>
      </c>
      <c r="AD176" s="4">
        <v>0.18</v>
      </c>
      <c r="AE176" s="4">
        <v>0.2</v>
      </c>
    </row>
    <row r="177" spans="1:31">
      <c r="A177" s="7" t="s">
        <v>162</v>
      </c>
      <c r="B177" s="2">
        <v>3.78E-2</v>
      </c>
      <c r="C177" s="2">
        <v>4.48E-2</v>
      </c>
      <c r="D177" s="2">
        <v>1.2999999999999999E-2</v>
      </c>
      <c r="E177" s="5"/>
      <c r="F177" s="5"/>
      <c r="G177" s="5"/>
      <c r="H177" s="2">
        <v>6.3600000000000004E-2</v>
      </c>
      <c r="I177" s="2">
        <v>5.1200000000000002E-2</v>
      </c>
      <c r="J177" s="2">
        <v>7.9600000000000004E-2</v>
      </c>
      <c r="K177" s="5"/>
      <c r="L177" s="5"/>
      <c r="M177" s="2">
        <v>4.4699999999999997E-2</v>
      </c>
      <c r="N177" s="2">
        <v>3.0300000000000001E-2</v>
      </c>
      <c r="O177" s="2">
        <v>2.46E-2</v>
      </c>
      <c r="P177" s="2">
        <v>4.4499999999999998E-2</v>
      </c>
      <c r="Q177" s="5"/>
      <c r="R177" s="5"/>
      <c r="S177" s="2">
        <v>4.7E-2</v>
      </c>
      <c r="T177" s="2">
        <v>4.4299999999999999E-2</v>
      </c>
      <c r="U177" s="2">
        <v>3.5499999999999997E-2</v>
      </c>
      <c r="V177" s="2">
        <v>3.9600000000000003E-2</v>
      </c>
      <c r="W177" s="5"/>
      <c r="X177" s="2">
        <v>0.04</v>
      </c>
      <c r="Y177" s="5"/>
      <c r="Z177" s="5"/>
      <c r="AA177" s="5"/>
      <c r="AB177" s="2">
        <v>3.6799999999999999E-2</v>
      </c>
      <c r="AC177" s="5"/>
      <c r="AD177" s="5"/>
      <c r="AE177" s="5"/>
    </row>
    <row r="178" spans="1:31">
      <c r="A178" s="7" t="s">
        <v>535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>
      <c r="A179" s="7" t="s">
        <v>536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>
      <c r="A180" s="7" t="s">
        <v>537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>
      <c r="A181" s="7" t="s">
        <v>538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>
      <c r="A182" s="7" t="s">
        <v>163</v>
      </c>
      <c r="B182" s="4">
        <v>3.8300000000000001E-3</v>
      </c>
      <c r="C182" s="4">
        <v>1.7299999999999999E-2</v>
      </c>
      <c r="D182" s="4">
        <v>1.0699999999999999E-2</v>
      </c>
      <c r="E182" s="3"/>
      <c r="F182" s="3"/>
      <c r="G182" s="3"/>
      <c r="H182" s="4">
        <v>7.7099999999999998E-3</v>
      </c>
      <c r="I182" s="4">
        <v>1.38E-2</v>
      </c>
      <c r="J182" s="4">
        <v>7.8100000000000001E-3</v>
      </c>
      <c r="K182" s="3"/>
      <c r="L182" s="3"/>
      <c r="M182" s="4">
        <v>5.0899999999999999E-3</v>
      </c>
      <c r="N182" s="4">
        <v>2.7399999999999998E-3</v>
      </c>
      <c r="O182" s="4">
        <v>3.8E-3</v>
      </c>
      <c r="P182" s="4">
        <v>4.3499999999999997E-3</v>
      </c>
      <c r="Q182" s="3"/>
      <c r="R182" s="3"/>
      <c r="S182" s="4">
        <v>6.7400000000000003E-3</v>
      </c>
      <c r="T182" s="4">
        <v>7.9900000000000006E-3</v>
      </c>
      <c r="U182" s="4">
        <v>8.3800000000000003E-3</v>
      </c>
      <c r="V182" s="4">
        <v>1.12E-2</v>
      </c>
      <c r="W182" s="4">
        <v>5.1999999999999998E-3</v>
      </c>
      <c r="X182" s="4">
        <v>4.5599999999999998E-3</v>
      </c>
      <c r="Y182" s="4">
        <v>5.9699999999999996E-3</v>
      </c>
      <c r="Z182" s="4">
        <v>7.2899999999999996E-3</v>
      </c>
      <c r="AA182" s="3"/>
      <c r="AB182" s="4">
        <v>6.28E-3</v>
      </c>
      <c r="AC182" s="3"/>
      <c r="AD182" s="3"/>
      <c r="AE182" s="3"/>
    </row>
    <row r="183" spans="1:31">
      <c r="A183" s="7" t="s">
        <v>539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>
      <c r="A184" s="7" t="s">
        <v>540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>
      <c r="A185" s="7" t="s">
        <v>541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>
      <c r="A186" s="7" t="s">
        <v>164</v>
      </c>
      <c r="B186" s="4">
        <v>3.0700000000000002E-2</v>
      </c>
      <c r="C186" s="4">
        <v>1.3299999999999999E-2</v>
      </c>
      <c r="D186" s="3"/>
      <c r="E186" s="3"/>
      <c r="F186" s="3"/>
      <c r="G186" s="4">
        <v>1.47E-2</v>
      </c>
      <c r="H186" s="4">
        <v>3.0700000000000002E-2</v>
      </c>
      <c r="I186" s="4">
        <v>2.0299999999999999E-2</v>
      </c>
      <c r="J186" s="4">
        <v>2.7900000000000001E-2</v>
      </c>
      <c r="K186" s="3"/>
      <c r="L186" s="3"/>
      <c r="M186" s="4">
        <v>2.8199999999999999E-2</v>
      </c>
      <c r="N186" s="4">
        <v>6.5900000000000004E-3</v>
      </c>
      <c r="O186" s="4">
        <v>6.5500000000000003E-2</v>
      </c>
      <c r="P186" s="4">
        <v>5.0999999999999997E-2</v>
      </c>
      <c r="Q186" s="3"/>
      <c r="R186" s="3"/>
      <c r="S186" s="4">
        <v>3.4200000000000001E-2</v>
      </c>
      <c r="T186" s="4">
        <v>0.46899999999999997</v>
      </c>
      <c r="U186" s="4">
        <v>5.62E-2</v>
      </c>
      <c r="V186" s="4">
        <v>1.4200000000000001E-2</v>
      </c>
      <c r="W186" s="4">
        <v>1.26E-2</v>
      </c>
      <c r="X186" s="3"/>
      <c r="Y186" s="4">
        <v>4.3999999999999997E-2</v>
      </c>
      <c r="Z186" s="4">
        <v>4.9299999999999997E-2</v>
      </c>
      <c r="AA186" s="3"/>
      <c r="AB186" s="4">
        <v>3.1199999999999999E-2</v>
      </c>
      <c r="AC186" s="3"/>
      <c r="AD186" s="3"/>
      <c r="AE186" s="4">
        <v>2.07E-2</v>
      </c>
    </row>
    <row r="187" spans="1:31">
      <c r="A187" s="7" t="s">
        <v>165</v>
      </c>
      <c r="B187" s="5"/>
      <c r="C187" s="2">
        <v>5.3200000000000001E-3</v>
      </c>
      <c r="D187" s="5"/>
      <c r="E187" s="5"/>
      <c r="F187" s="5"/>
      <c r="G187" s="5"/>
      <c r="H187" s="5"/>
      <c r="I187" s="2">
        <v>2.32E-3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>
      <c r="A188" s="7" t="s">
        <v>542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>
      <c r="A189" s="7" t="s">
        <v>543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>
      <c r="A190" s="7" t="s">
        <v>544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>
      <c r="A191" s="7" t="s">
        <v>545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>
      <c r="A192" s="7" t="s">
        <v>546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>
      <c r="A193" s="7" t="s">
        <v>547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>
      <c r="A194" s="7" t="s">
        <v>548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>
      <c r="A195" s="7" t="s">
        <v>549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>
      <c r="A196" s="7" t="s">
        <v>550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>
      <c r="A197" s="7" t="s">
        <v>551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>
      <c r="A198" s="7" t="s">
        <v>552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>
      <c r="A199" s="7" t="s">
        <v>553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>
      <c r="A200" s="7" t="s">
        <v>554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>
      <c r="A201" s="7" t="s">
        <v>555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>
      <c r="A202" s="7" t="s">
        <v>556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>
      <c r="A203" s="7" t="s">
        <v>557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>
      <c r="A204" s="7" t="s">
        <v>558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>
      <c r="A205" s="7" t="s">
        <v>559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>
      <c r="A206" s="8" t="s">
        <v>560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>
      <c r="A207" s="8" t="s">
        <v>561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>
      <c r="A208" s="8" t="s">
        <v>166</v>
      </c>
      <c r="B208" s="4">
        <v>2.1000000000000001E-2</v>
      </c>
      <c r="C208" s="3"/>
      <c r="D208" s="3"/>
      <c r="E208" s="4">
        <v>1.3899999999999999E-2</v>
      </c>
      <c r="F208" s="4">
        <v>0.106</v>
      </c>
      <c r="G208" s="3"/>
      <c r="H208" s="3"/>
      <c r="I208" s="3"/>
      <c r="J208" s="4">
        <v>1.6500000000000001E-2</v>
      </c>
      <c r="K208" s="4">
        <v>9.8199999999999996E-2</v>
      </c>
      <c r="L208" s="3"/>
      <c r="M208" s="4">
        <v>1.09E-2</v>
      </c>
      <c r="N208" s="4">
        <v>1.7899999999999999E-2</v>
      </c>
      <c r="O208" s="4">
        <v>2.8000000000000001E-2</v>
      </c>
      <c r="P208" s="4">
        <v>2.9100000000000001E-2</v>
      </c>
      <c r="Q208" s="4">
        <v>4.3799999999999999E-2</v>
      </c>
      <c r="R208" s="3"/>
      <c r="S208" s="4">
        <v>9.3900000000000008E-3</v>
      </c>
      <c r="T208" s="3"/>
      <c r="U208" s="3"/>
      <c r="V208" s="3"/>
      <c r="W208" s="4">
        <v>1.2200000000000001E-2</v>
      </c>
      <c r="X208" s="4">
        <v>1.2E-2</v>
      </c>
      <c r="Y208" s="4">
        <v>1.7600000000000001E-2</v>
      </c>
      <c r="Z208" s="4">
        <v>2.3199999999999998E-2</v>
      </c>
      <c r="AA208" s="4">
        <v>7.9399999999999991E-3</v>
      </c>
      <c r="AB208" s="4">
        <v>3.3799999999999997E-2</v>
      </c>
      <c r="AC208" s="4">
        <v>5.94E-3</v>
      </c>
      <c r="AD208" s="4">
        <v>1.4E-2</v>
      </c>
      <c r="AE208" s="4">
        <v>2.1399999999999999E-2</v>
      </c>
    </row>
    <row r="209" spans="1:31">
      <c r="A209" s="8" t="s">
        <v>562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>
      <c r="A210" s="8" t="s">
        <v>167</v>
      </c>
      <c r="B210" s="4">
        <v>9.3399999999999997E-2</v>
      </c>
      <c r="C210" s="4">
        <v>0.13700000000000001</v>
      </c>
      <c r="D210" s="4">
        <v>0.158</v>
      </c>
      <c r="E210" s="4">
        <v>0.497</v>
      </c>
      <c r="F210" s="4">
        <v>0.76200000000000001</v>
      </c>
      <c r="G210" s="4">
        <v>0.16500000000000001</v>
      </c>
      <c r="H210" s="4">
        <v>0.20799999999999999</v>
      </c>
      <c r="I210" s="4">
        <v>0.13200000000000001</v>
      </c>
      <c r="J210" s="4">
        <v>0.25</v>
      </c>
      <c r="K210" s="4">
        <v>0.25900000000000001</v>
      </c>
      <c r="L210" s="4">
        <v>0.36699999999999999</v>
      </c>
      <c r="M210" s="4">
        <v>0.14499999999999999</v>
      </c>
      <c r="N210" s="4">
        <v>0.12</v>
      </c>
      <c r="O210" s="4">
        <v>0.223</v>
      </c>
      <c r="P210" s="4">
        <v>0.21199999999999999</v>
      </c>
      <c r="Q210" s="4">
        <v>0.56200000000000006</v>
      </c>
      <c r="R210" s="4">
        <v>0.34499999999999997</v>
      </c>
      <c r="S210" s="4">
        <v>0.115</v>
      </c>
      <c r="T210" s="4">
        <v>0.104</v>
      </c>
      <c r="U210" s="4">
        <v>8.9499999999999996E-2</v>
      </c>
      <c r="V210" s="4">
        <v>0.152</v>
      </c>
      <c r="W210" s="4">
        <v>0.254</v>
      </c>
      <c r="X210" s="4">
        <v>0.2</v>
      </c>
      <c r="Y210" s="4">
        <v>0.26800000000000002</v>
      </c>
      <c r="Z210" s="4">
        <v>0.15</v>
      </c>
      <c r="AA210" s="4">
        <v>0.16800000000000001</v>
      </c>
      <c r="AB210" s="4">
        <v>0.157</v>
      </c>
      <c r="AC210" s="4">
        <v>0.318</v>
      </c>
      <c r="AD210" s="4">
        <v>0.59699999999999998</v>
      </c>
      <c r="AE210" s="4">
        <v>0.20799999999999999</v>
      </c>
    </row>
    <row r="211" spans="1:31">
      <c r="A211" s="8" t="s">
        <v>563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>
      <c r="A212" s="8" t="s">
        <v>168</v>
      </c>
      <c r="B212" s="4">
        <v>3.15E-2</v>
      </c>
      <c r="C212" s="3"/>
      <c r="D212" s="3"/>
      <c r="E212" s="3"/>
      <c r="F212" s="3"/>
      <c r="G212" s="3"/>
      <c r="H212" s="3"/>
      <c r="I212" s="3"/>
      <c r="J212" s="3"/>
      <c r="K212" s="3"/>
      <c r="L212" s="4">
        <v>8.2400000000000008E-3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4">
        <v>5.7099999999999998E-3</v>
      </c>
      <c r="X212" s="3"/>
      <c r="Y212" s="4">
        <v>1.5100000000000001E-2</v>
      </c>
      <c r="Z212" s="4">
        <v>4.7000000000000002E-3</v>
      </c>
      <c r="AA212" s="3"/>
      <c r="AB212" s="3"/>
      <c r="AC212" s="4">
        <v>1.46E-2</v>
      </c>
      <c r="AD212" s="3"/>
      <c r="AE212" s="3"/>
    </row>
    <row r="213" spans="1:31">
      <c r="A213" s="8" t="s">
        <v>169</v>
      </c>
      <c r="B213" s="5"/>
      <c r="C213" s="2">
        <v>7.9500000000000005E-3</v>
      </c>
      <c r="D213" s="5"/>
      <c r="E213" s="5"/>
      <c r="F213" s="5"/>
      <c r="G213" s="5"/>
      <c r="H213" s="5"/>
      <c r="I213" s="5"/>
      <c r="J213" s="5"/>
      <c r="K213" s="5"/>
      <c r="L213" s="2">
        <v>5.9800000000000001E-3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2">
        <v>4.9199999999999999E-3</v>
      </c>
      <c r="AD213" s="5"/>
      <c r="AE213" s="5"/>
    </row>
    <row r="214" spans="1:31">
      <c r="A214" s="8" t="s">
        <v>564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>
      <c r="A215" s="8" t="s">
        <v>565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>
      <c r="A216" s="8" t="s">
        <v>566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>
      <c r="A217" s="8" t="s">
        <v>170</v>
      </c>
      <c r="B217" s="2">
        <v>2.1299999999999999E-3</v>
      </c>
      <c r="C217" s="5"/>
      <c r="D217" s="5"/>
      <c r="E217" s="2">
        <v>7.9000000000000008E-3</v>
      </c>
      <c r="F217" s="2">
        <v>2.49E-3</v>
      </c>
      <c r="G217" s="2">
        <v>6.1199999999999996E-3</v>
      </c>
      <c r="H217" s="5"/>
      <c r="I217" s="5"/>
      <c r="J217" s="5"/>
      <c r="K217" s="2">
        <v>1.92E-3</v>
      </c>
      <c r="L217" s="5"/>
      <c r="M217" s="2">
        <v>3.7799999999999999E-3</v>
      </c>
      <c r="N217" s="2">
        <v>4.9500000000000004E-3</v>
      </c>
      <c r="O217" s="2">
        <v>4.2399999999999998E-3</v>
      </c>
      <c r="P217" s="2">
        <v>2.9199999999999999E-3</v>
      </c>
      <c r="Q217" s="2">
        <v>3.7499999999999999E-3</v>
      </c>
      <c r="R217" s="2">
        <v>4.4600000000000004E-3</v>
      </c>
      <c r="S217" s="5"/>
      <c r="T217" s="5"/>
      <c r="U217" s="5"/>
      <c r="V217" s="5"/>
      <c r="W217" s="5"/>
      <c r="X217" s="5"/>
      <c r="Y217" s="5"/>
      <c r="Z217" s="5"/>
      <c r="AA217" s="5"/>
      <c r="AB217" s="2">
        <v>3.3400000000000001E-3</v>
      </c>
      <c r="AC217" s="5"/>
      <c r="AD217" s="2">
        <v>4.0299999999999997E-3</v>
      </c>
      <c r="AE217" s="2">
        <v>6.3299999999999997E-3</v>
      </c>
    </row>
    <row r="218" spans="1:31">
      <c r="A218" s="8" t="s">
        <v>567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>
      <c r="A219" s="8" t="s">
        <v>568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>
      <c r="A220" s="8" t="s">
        <v>569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>
      <c r="A221" s="8" t="s">
        <v>171</v>
      </c>
      <c r="B221" s="5"/>
      <c r="C221" s="2">
        <v>4.4799999999999996E-3</v>
      </c>
      <c r="D221" s="2">
        <v>3.2299999999999998E-3</v>
      </c>
      <c r="E221" s="5"/>
      <c r="F221" s="5"/>
      <c r="G221" s="5"/>
      <c r="H221" s="2">
        <v>3.15E-3</v>
      </c>
      <c r="I221" s="2">
        <v>2.1700000000000001E-3</v>
      </c>
      <c r="J221" s="5"/>
      <c r="K221" s="5"/>
      <c r="L221" s="2">
        <v>3.2100000000000002E-3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2">
        <v>3.0000000000000001E-3</v>
      </c>
      <c r="X221" s="5"/>
      <c r="Y221" s="5"/>
      <c r="Z221" s="5"/>
      <c r="AA221" s="5"/>
      <c r="AB221" s="5"/>
      <c r="AC221" s="2">
        <v>1.9499999999999999E-3</v>
      </c>
      <c r="AD221" s="5"/>
      <c r="AE221" s="5"/>
    </row>
    <row r="222" spans="1:31">
      <c r="A222" s="8" t="s">
        <v>570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>
      <c r="A223" s="8" t="s">
        <v>172</v>
      </c>
      <c r="B223" s="5"/>
      <c r="C223" s="2">
        <v>4.2500000000000003E-3</v>
      </c>
      <c r="D223" s="2">
        <v>2.7699999999999999E-3</v>
      </c>
      <c r="E223" s="5"/>
      <c r="F223" s="5"/>
      <c r="G223" s="5"/>
      <c r="H223" s="2">
        <v>1.4599999999999999E-3</v>
      </c>
      <c r="I223" s="2">
        <v>1.6999999999999999E-3</v>
      </c>
      <c r="J223" s="5"/>
      <c r="K223" s="5"/>
      <c r="L223" s="2">
        <v>2.7399999999999998E-3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2">
        <v>1.5399999999999999E-3</v>
      </c>
      <c r="X223" s="5"/>
      <c r="Y223" s="5"/>
      <c r="Z223" s="5"/>
      <c r="AA223" s="5"/>
      <c r="AB223" s="5"/>
      <c r="AC223" s="2">
        <v>1.91E-3</v>
      </c>
      <c r="AD223" s="5"/>
      <c r="AE223" s="5"/>
    </row>
    <row r="224" spans="1:31">
      <c r="A224" s="8" t="s">
        <v>173</v>
      </c>
      <c r="B224" s="4">
        <v>0.124</v>
      </c>
      <c r="C224" s="4">
        <v>4.1099999999999998E-2</v>
      </c>
      <c r="D224" s="4">
        <v>3.1800000000000002E-2</v>
      </c>
      <c r="E224" s="4">
        <v>0.19900000000000001</v>
      </c>
      <c r="F224" s="4">
        <v>0.749</v>
      </c>
      <c r="G224" s="4">
        <v>0.11</v>
      </c>
      <c r="H224" s="4">
        <v>4.99E-2</v>
      </c>
      <c r="I224" s="4">
        <v>8.3299999999999999E-2</v>
      </c>
      <c r="J224" s="4">
        <v>5.3900000000000003E-2</v>
      </c>
      <c r="K224" s="4">
        <v>0.14499999999999999</v>
      </c>
      <c r="L224" s="4">
        <v>5.3400000000000003E-2</v>
      </c>
      <c r="M224" s="4">
        <v>0.371</v>
      </c>
      <c r="N224" s="4">
        <v>4.58E-2</v>
      </c>
      <c r="O224" s="4">
        <v>7.7899999999999997E-2</v>
      </c>
      <c r="P224" s="4">
        <v>0.13600000000000001</v>
      </c>
      <c r="Q224" s="4">
        <v>0.121</v>
      </c>
      <c r="R224" s="4">
        <v>0.151</v>
      </c>
      <c r="S224" s="4">
        <v>9.7199999999999995E-2</v>
      </c>
      <c r="T224" s="4">
        <v>9.9699999999999997E-2</v>
      </c>
      <c r="U224" s="4">
        <v>5.4100000000000002E-2</v>
      </c>
      <c r="V224" s="4">
        <v>0.16400000000000001</v>
      </c>
      <c r="W224" s="4">
        <v>0.12</v>
      </c>
      <c r="X224" s="4">
        <v>6.3200000000000006E-2</v>
      </c>
      <c r="Y224" s="4">
        <v>0.157</v>
      </c>
      <c r="Z224" s="4">
        <v>0.14099999999999999</v>
      </c>
      <c r="AA224" s="3"/>
      <c r="AB224" s="4">
        <v>0.104</v>
      </c>
      <c r="AC224" s="4">
        <v>6.9500000000000006E-2</v>
      </c>
      <c r="AD224" s="4">
        <v>0.13800000000000001</v>
      </c>
      <c r="AE224" s="4">
        <v>0.14299999999999999</v>
      </c>
    </row>
    <row r="225" spans="1:31">
      <c r="A225" s="8" t="s">
        <v>174</v>
      </c>
      <c r="B225" s="2">
        <v>0.16800000000000001</v>
      </c>
      <c r="C225" s="2">
        <v>0.22700000000000001</v>
      </c>
      <c r="D225" s="2">
        <v>0.159</v>
      </c>
      <c r="E225" s="2">
        <v>0.42299999999999999</v>
      </c>
      <c r="F225" s="2">
        <v>0.83799999999999997</v>
      </c>
      <c r="G225" s="2">
        <v>0.14299999999999999</v>
      </c>
      <c r="H225" s="2">
        <v>0.33</v>
      </c>
      <c r="I225" s="2">
        <v>0.24399999999999999</v>
      </c>
      <c r="J225" s="2">
        <v>0.38900000000000001</v>
      </c>
      <c r="K225" s="2">
        <v>0.49</v>
      </c>
      <c r="L225" s="2">
        <v>0.374</v>
      </c>
      <c r="M225" s="2">
        <v>0.3</v>
      </c>
      <c r="N225" s="2">
        <v>0.189</v>
      </c>
      <c r="O225" s="2">
        <v>0.219</v>
      </c>
      <c r="P225" s="2">
        <v>0.23699999999999999</v>
      </c>
      <c r="Q225" s="2">
        <v>0.60599999999999998</v>
      </c>
      <c r="R225" s="2">
        <v>0.36699999999999999</v>
      </c>
      <c r="S225" s="2">
        <v>0.24199999999999999</v>
      </c>
      <c r="T225" s="2">
        <v>0.28299999999999997</v>
      </c>
      <c r="U225" s="2">
        <v>0.189</v>
      </c>
      <c r="V225" s="2">
        <v>0.30299999999999999</v>
      </c>
      <c r="W225" s="2">
        <v>0.28699999999999998</v>
      </c>
      <c r="X225" s="2">
        <v>0.216</v>
      </c>
      <c r="Y225" s="2">
        <v>0.28699999999999998</v>
      </c>
      <c r="Z225" s="2">
        <v>0.21</v>
      </c>
      <c r="AA225" s="2">
        <v>0.20300000000000001</v>
      </c>
      <c r="AB225" s="2">
        <v>0.182</v>
      </c>
      <c r="AC225" s="2">
        <v>0.35799999999999998</v>
      </c>
      <c r="AD225" s="2">
        <v>0.628</v>
      </c>
      <c r="AE225" s="2">
        <v>0.23</v>
      </c>
    </row>
    <row r="226" spans="1:31">
      <c r="A226" s="8" t="s">
        <v>571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>
      <c r="A227" s="8" t="s">
        <v>175</v>
      </c>
      <c r="B227" s="5"/>
      <c r="C227" s="2">
        <v>3.44E-2</v>
      </c>
      <c r="D227" s="2">
        <v>2.6599999999999999E-2</v>
      </c>
      <c r="E227" s="5"/>
      <c r="F227" s="5"/>
      <c r="G227" s="2">
        <v>2.2499999999999998E-3</v>
      </c>
      <c r="H227" s="2">
        <v>2.3099999999999999E-2</v>
      </c>
      <c r="I227" s="2">
        <v>1.8800000000000001E-2</v>
      </c>
      <c r="J227" s="5"/>
      <c r="K227" s="5"/>
      <c r="L227" s="2">
        <v>2.0500000000000001E-2</v>
      </c>
      <c r="M227" s="5"/>
      <c r="N227" s="5"/>
      <c r="O227" s="5"/>
      <c r="P227" s="5"/>
      <c r="Q227" s="5"/>
      <c r="R227" s="2">
        <v>5.2100000000000002E-3</v>
      </c>
      <c r="S227" s="5"/>
      <c r="T227" s="5"/>
      <c r="U227" s="5"/>
      <c r="V227" s="5"/>
      <c r="W227" s="2">
        <v>8.7299999999999999E-3</v>
      </c>
      <c r="X227" s="5"/>
      <c r="Y227" s="5"/>
      <c r="Z227" s="2">
        <v>1.2500000000000001E-2</v>
      </c>
      <c r="AA227" s="5"/>
      <c r="AB227" s="5"/>
      <c r="AC227" s="2">
        <v>1.15E-2</v>
      </c>
      <c r="AD227" s="5"/>
      <c r="AE227" s="2">
        <v>7.8200000000000006E-3</v>
      </c>
    </row>
    <row r="228" spans="1:31">
      <c r="A228" s="8" t="s">
        <v>176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>
        <v>0.01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4">
        <v>4.0899999999999999E-3</v>
      </c>
      <c r="X228" s="3"/>
      <c r="Y228" s="3"/>
      <c r="Z228" s="3"/>
      <c r="AA228" s="4">
        <v>1.8799999999999999E-3</v>
      </c>
      <c r="AB228" s="3"/>
      <c r="AC228" s="4">
        <v>2.1900000000000001E-3</v>
      </c>
      <c r="AD228" s="3"/>
      <c r="AE228" s="3"/>
    </row>
    <row r="229" spans="1:31">
      <c r="A229" s="8" t="s">
        <v>177</v>
      </c>
      <c r="B229" s="5"/>
      <c r="C229" s="5"/>
      <c r="D229" s="5"/>
      <c r="E229" s="5"/>
      <c r="F229" s="5"/>
      <c r="G229" s="2">
        <v>2.0100000000000001E-3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>
      <c r="A230" s="8" t="s">
        <v>572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>
      <c r="A231" s="8" t="s">
        <v>573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>
      <c r="A232" s="8" t="s">
        <v>574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>
      <c r="A233" s="8" t="s">
        <v>575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>
      <c r="A234" s="8" t="s">
        <v>576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>
      <c r="A235" s="8" t="s">
        <v>577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>
      <c r="A236" s="8" t="s">
        <v>578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>
      <c r="A237" s="8" t="s">
        <v>579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>
      <c r="A238" s="8" t="s">
        <v>580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>
      <c r="A239" s="8" t="s">
        <v>581</v>
      </c>
      <c r="B239" s="5"/>
      <c r="C239" s="5"/>
      <c r="D239" s="5"/>
      <c r="E239" s="5"/>
      <c r="F239" s="2">
        <v>4.4999999999999997E-3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2">
        <v>2.5100000000000001E-3</v>
      </c>
      <c r="X239" s="5"/>
      <c r="Y239" s="5"/>
      <c r="Z239" s="5"/>
      <c r="AA239" s="5"/>
      <c r="AB239" s="5"/>
      <c r="AC239" s="5"/>
      <c r="AD239" s="5"/>
      <c r="AE239" s="5"/>
    </row>
    <row r="240" spans="1:31">
      <c r="A240" s="8" t="s">
        <v>178</v>
      </c>
      <c r="B240" s="4">
        <v>3.7699999999999997E-2</v>
      </c>
      <c r="C240" s="4">
        <v>4.3999999999999997E-2</v>
      </c>
      <c r="D240" s="4">
        <v>2.64E-2</v>
      </c>
      <c r="E240" s="3"/>
      <c r="F240" s="4">
        <v>3.04E-2</v>
      </c>
      <c r="G240" s="4">
        <v>2.4199999999999999E-2</v>
      </c>
      <c r="H240" s="4">
        <v>5.11E-2</v>
      </c>
      <c r="I240" s="4">
        <v>4.3400000000000001E-2</v>
      </c>
      <c r="J240" s="4">
        <v>4.9700000000000001E-2</v>
      </c>
      <c r="K240" s="4">
        <v>5.3100000000000001E-2</v>
      </c>
      <c r="L240" s="4">
        <v>5.0799999999999998E-2</v>
      </c>
      <c r="M240" s="4">
        <v>7.1499999999999994E-2</v>
      </c>
      <c r="N240" s="4">
        <v>4.1700000000000001E-2</v>
      </c>
      <c r="O240" s="4">
        <v>3.9699999999999999E-2</v>
      </c>
      <c r="P240" s="4">
        <v>3.1300000000000001E-2</v>
      </c>
      <c r="Q240" s="4">
        <v>5.2999999999999999E-2</v>
      </c>
      <c r="R240" s="4">
        <v>2.6499999999999999E-2</v>
      </c>
      <c r="S240" s="4">
        <v>5.67E-2</v>
      </c>
      <c r="T240" s="4">
        <v>6.9800000000000001E-2</v>
      </c>
      <c r="U240" s="4">
        <v>3.85E-2</v>
      </c>
      <c r="V240" s="4">
        <v>5.5599999999999997E-2</v>
      </c>
      <c r="W240" s="4">
        <v>5.0999999999999997E-2</v>
      </c>
      <c r="X240" s="4">
        <v>4.0500000000000001E-2</v>
      </c>
      <c r="Y240" s="4">
        <v>4.1200000000000001E-2</v>
      </c>
      <c r="Z240" s="4">
        <v>5.7299999999999997E-2</v>
      </c>
      <c r="AA240" s="4">
        <v>4.1599999999999998E-2</v>
      </c>
      <c r="AB240" s="4">
        <v>3.4700000000000002E-2</v>
      </c>
      <c r="AC240" s="4">
        <v>4.36E-2</v>
      </c>
      <c r="AD240" s="4">
        <v>7.4099999999999999E-2</v>
      </c>
      <c r="AE240" s="4">
        <v>3.5999999999999997E-2</v>
      </c>
    </row>
    <row r="241" spans="1:31">
      <c r="A241" s="8" t="s">
        <v>179</v>
      </c>
      <c r="B241" s="2">
        <v>8.2900000000000005E-3</v>
      </c>
      <c r="C241" s="2">
        <v>1.46E-2</v>
      </c>
      <c r="D241" s="2">
        <v>8.4399999999999996E-3</v>
      </c>
      <c r="E241" s="5"/>
      <c r="F241" s="5"/>
      <c r="G241" s="2">
        <v>6.0000000000000001E-3</v>
      </c>
      <c r="H241" s="2">
        <v>1.1599999999999999E-2</v>
      </c>
      <c r="I241" s="2">
        <v>1.0800000000000001E-2</v>
      </c>
      <c r="J241" s="2">
        <v>6.9800000000000001E-3</v>
      </c>
      <c r="K241" s="5"/>
      <c r="L241" s="2">
        <v>1.2200000000000001E-2</v>
      </c>
      <c r="M241" s="2">
        <v>1.9800000000000002E-2</v>
      </c>
      <c r="N241" s="2">
        <v>1.2E-2</v>
      </c>
      <c r="O241" s="2">
        <v>1.0699999999999999E-2</v>
      </c>
      <c r="P241" s="2">
        <v>7.2700000000000004E-3</v>
      </c>
      <c r="Q241" s="5"/>
      <c r="R241" s="2">
        <v>5.4900000000000001E-3</v>
      </c>
      <c r="S241" s="2">
        <v>1.04E-2</v>
      </c>
      <c r="T241" s="2">
        <v>7.1300000000000001E-3</v>
      </c>
      <c r="U241" s="2">
        <v>6.5900000000000004E-3</v>
      </c>
      <c r="V241" s="2">
        <v>1.2E-2</v>
      </c>
      <c r="W241" s="2">
        <v>8.8400000000000006E-3</v>
      </c>
      <c r="X241" s="2">
        <v>5.3400000000000001E-3</v>
      </c>
      <c r="Y241" s="2">
        <v>6.6699999999999997E-3</v>
      </c>
      <c r="Z241" s="2">
        <v>8.2699999999999996E-3</v>
      </c>
      <c r="AA241" s="5"/>
      <c r="AB241" s="2">
        <v>8.4499999999999992E-3</v>
      </c>
      <c r="AC241" s="2">
        <v>8.1899999999999994E-3</v>
      </c>
      <c r="AD241" s="5"/>
      <c r="AE241" s="2">
        <v>8.5900000000000004E-3</v>
      </c>
    </row>
    <row r="242" spans="1:31">
      <c r="A242" s="8" t="s">
        <v>180</v>
      </c>
      <c r="B242" s="3"/>
      <c r="C242" s="4">
        <v>1.29E-2</v>
      </c>
      <c r="D242" s="3"/>
      <c r="E242" s="3"/>
      <c r="F242" s="3"/>
      <c r="G242" s="3"/>
      <c r="H242" s="3"/>
      <c r="I242" s="3"/>
      <c r="J242" s="3"/>
      <c r="K242" s="3"/>
      <c r="L242" s="4">
        <v>4.4999999999999997E-3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>
      <c r="A243" s="8" t="s">
        <v>181</v>
      </c>
      <c r="B243" s="5"/>
      <c r="C243" s="5"/>
      <c r="D243" s="2">
        <v>1.0999999999999999E-2</v>
      </c>
      <c r="E243" s="5"/>
      <c r="F243" s="5"/>
      <c r="G243" s="5"/>
      <c r="H243" s="2">
        <v>1.34E-2</v>
      </c>
      <c r="I243" s="2">
        <v>9.9799999999999993E-3</v>
      </c>
      <c r="J243" s="5"/>
      <c r="K243" s="5"/>
      <c r="L243" s="2">
        <v>1.18E-2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2">
        <v>5.7000000000000002E-3</v>
      </c>
      <c r="AB243" s="5"/>
      <c r="AC243" s="2">
        <v>6.1799999999999997E-3</v>
      </c>
      <c r="AD243" s="5"/>
      <c r="AE243" s="5"/>
    </row>
    <row r="244" spans="1:31">
      <c r="A244" s="8" t="s">
        <v>582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>
      <c r="A245" s="8" t="s">
        <v>583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>
      <c r="A246" s="8" t="s">
        <v>182</v>
      </c>
      <c r="B246" s="4">
        <v>0.1</v>
      </c>
      <c r="C246" s="4">
        <v>0.11600000000000001</v>
      </c>
      <c r="D246" s="4">
        <v>0.12</v>
      </c>
      <c r="E246" s="4">
        <v>0.41599999999999998</v>
      </c>
      <c r="F246" s="4">
        <v>1.0900000000000001</v>
      </c>
      <c r="G246" s="4">
        <v>0.114</v>
      </c>
      <c r="H246" s="4">
        <v>0.17699999999999999</v>
      </c>
      <c r="I246" s="4">
        <v>8.5000000000000006E-2</v>
      </c>
      <c r="J246" s="4">
        <v>0.222</v>
      </c>
      <c r="K246" s="4">
        <v>0.27700000000000002</v>
      </c>
      <c r="L246" s="4">
        <v>0.34799999999999998</v>
      </c>
      <c r="M246" s="4">
        <v>0.13600000000000001</v>
      </c>
      <c r="N246" s="4">
        <v>0.13800000000000001</v>
      </c>
      <c r="O246" s="4">
        <v>0.33100000000000002</v>
      </c>
      <c r="P246" s="4">
        <v>0.33</v>
      </c>
      <c r="Q246" s="4">
        <v>0.50600000000000001</v>
      </c>
      <c r="R246" s="4">
        <v>0.498</v>
      </c>
      <c r="S246" s="4">
        <v>0.112</v>
      </c>
      <c r="T246" s="4">
        <v>0.1</v>
      </c>
      <c r="U246" s="4">
        <v>8.3900000000000002E-2</v>
      </c>
      <c r="V246" s="4">
        <v>0.19900000000000001</v>
      </c>
      <c r="W246" s="4">
        <v>0.45400000000000001</v>
      </c>
      <c r="X246" s="4">
        <v>0.29299999999999998</v>
      </c>
      <c r="Y246" s="4">
        <v>0.57499999999999996</v>
      </c>
      <c r="Z246" s="4">
        <v>0.218</v>
      </c>
      <c r="AA246" s="4">
        <v>0.20200000000000001</v>
      </c>
      <c r="AB246" s="4">
        <v>0.156</v>
      </c>
      <c r="AC246" s="4">
        <v>0.34300000000000003</v>
      </c>
      <c r="AD246" s="4">
        <v>0.66100000000000003</v>
      </c>
      <c r="AE246" s="4">
        <v>0.182</v>
      </c>
    </row>
    <row r="247" spans="1:31">
      <c r="A247" s="8" t="s">
        <v>183</v>
      </c>
      <c r="B247" s="2">
        <v>6.2199999999999998E-3</v>
      </c>
      <c r="C247" s="2">
        <v>1.1299999999999999E-2</v>
      </c>
      <c r="D247" s="5"/>
      <c r="E247" s="5"/>
      <c r="F247" s="2">
        <v>5.0500000000000003E-2</v>
      </c>
      <c r="G247" s="2">
        <v>8.7500000000000008E-3</v>
      </c>
      <c r="H247" s="2">
        <v>8.6599999999999993E-3</v>
      </c>
      <c r="I247" s="2">
        <v>1.41E-2</v>
      </c>
      <c r="J247" s="2">
        <v>1.41E-2</v>
      </c>
      <c r="K247" s="2">
        <v>4.0300000000000002E-2</v>
      </c>
      <c r="L247" s="2">
        <v>1.3899999999999999E-2</v>
      </c>
      <c r="M247" s="5"/>
      <c r="N247" s="2">
        <v>6.2100000000000002E-3</v>
      </c>
      <c r="O247" s="2">
        <v>9.5399999999999999E-3</v>
      </c>
      <c r="P247" s="2">
        <v>8.9300000000000004E-3</v>
      </c>
      <c r="Q247" s="2">
        <v>4.5199999999999997E-2</v>
      </c>
      <c r="R247" s="2">
        <v>1.43E-2</v>
      </c>
      <c r="S247" s="2">
        <v>1.12E-2</v>
      </c>
      <c r="T247" s="2">
        <v>1.44E-2</v>
      </c>
      <c r="U247" s="2">
        <v>1.72E-2</v>
      </c>
      <c r="V247" s="2">
        <v>1.5100000000000001E-2</v>
      </c>
      <c r="W247" s="2">
        <v>1.0999999999999999E-2</v>
      </c>
      <c r="X247" s="2">
        <v>7.6099999999999996E-3</v>
      </c>
      <c r="Y247" s="2">
        <v>1.2999999999999999E-2</v>
      </c>
      <c r="Z247" s="2">
        <v>1.0800000000000001E-2</v>
      </c>
      <c r="AA247" s="2">
        <v>1.66E-2</v>
      </c>
      <c r="AB247" s="5"/>
      <c r="AC247" s="2">
        <v>9.8600000000000007E-3</v>
      </c>
      <c r="AD247" s="2">
        <v>3.7600000000000001E-2</v>
      </c>
      <c r="AE247" s="2">
        <v>7.3800000000000003E-3</v>
      </c>
    </row>
    <row r="248" spans="1:31">
      <c r="A248" s="8" t="s">
        <v>584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>
      <c r="A249" s="8" t="s">
        <v>585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>
      <c r="A250" s="8" t="s">
        <v>586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>
      <c r="A251" s="8" t="s">
        <v>587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>
      <c r="A252" s="8" t="s">
        <v>588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>
      <c r="A253" s="8" t="s">
        <v>184</v>
      </c>
      <c r="B253" s="2">
        <v>4.0200000000000001E-3</v>
      </c>
      <c r="C253" s="2">
        <v>9.4699999999999993E-3</v>
      </c>
      <c r="D253" s="2">
        <v>1.0699999999999999E-2</v>
      </c>
      <c r="E253" s="5"/>
      <c r="F253" s="5"/>
      <c r="G253" s="2">
        <v>1.44E-2</v>
      </c>
      <c r="H253" s="2">
        <v>8.9499999999999996E-3</v>
      </c>
      <c r="I253" s="2">
        <v>7.2399999999999999E-3</v>
      </c>
      <c r="J253" s="2">
        <v>7.4000000000000003E-3</v>
      </c>
      <c r="K253" s="5"/>
      <c r="L253" s="2">
        <v>8.6599999999999993E-3</v>
      </c>
      <c r="M253" s="5"/>
      <c r="N253" s="2">
        <v>3.7599999999999999E-3</v>
      </c>
      <c r="O253" s="2">
        <v>4.1200000000000004E-3</v>
      </c>
      <c r="P253" s="2">
        <v>6.4799999999999996E-3</v>
      </c>
      <c r="Q253" s="5"/>
      <c r="R253" s="2">
        <v>9.4699999999999993E-3</v>
      </c>
      <c r="S253" s="2">
        <v>2.81E-3</v>
      </c>
      <c r="T253" s="2">
        <v>4.1399999999999996E-3</v>
      </c>
      <c r="U253" s="2">
        <v>3.4499999999999999E-3</v>
      </c>
      <c r="V253" s="2">
        <v>6.2399999999999999E-3</v>
      </c>
      <c r="W253" s="2">
        <v>5.5900000000000004E-3</v>
      </c>
      <c r="X253" s="2">
        <v>3.6800000000000001E-3</v>
      </c>
      <c r="Y253" s="2">
        <v>4.2700000000000004E-3</v>
      </c>
      <c r="Z253" s="2">
        <v>3.46E-3</v>
      </c>
      <c r="AA253" s="2">
        <v>5.5300000000000002E-3</v>
      </c>
      <c r="AB253" s="2">
        <v>4.7999999999999996E-3</v>
      </c>
      <c r="AC253" s="2">
        <v>9.8200000000000006E-3</v>
      </c>
      <c r="AD253" s="5"/>
      <c r="AE253" s="2">
        <v>9.9399999999999992E-3</v>
      </c>
    </row>
    <row r="254" spans="1:31">
      <c r="A254" s="8" t="s">
        <v>589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>
      <c r="A255" s="8" t="s">
        <v>590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>
      <c r="A256" s="8" t="s">
        <v>185</v>
      </c>
      <c r="B256" s="3"/>
      <c r="C256" s="4">
        <v>7.3099999999999997E-3</v>
      </c>
      <c r="D256" s="4">
        <v>5.1599999999999997E-3</v>
      </c>
      <c r="E256" s="4">
        <v>4.2900000000000004E-3</v>
      </c>
      <c r="F256" s="4">
        <v>1.11E-2</v>
      </c>
      <c r="G256" s="3"/>
      <c r="H256" s="4">
        <v>3.3300000000000001E-3</v>
      </c>
      <c r="I256" s="4">
        <v>3.6800000000000001E-3</v>
      </c>
      <c r="J256" s="4">
        <v>3.2499999999999999E-3</v>
      </c>
      <c r="K256" s="4">
        <v>4.2700000000000004E-3</v>
      </c>
      <c r="L256" s="4">
        <v>4.2300000000000003E-3</v>
      </c>
      <c r="M256" s="3"/>
      <c r="N256" s="3"/>
      <c r="O256" s="3"/>
      <c r="P256" s="3"/>
      <c r="Q256" s="3"/>
      <c r="R256" s="3"/>
      <c r="S256" s="3"/>
      <c r="T256" s="4">
        <v>4.5599999999999998E-3</v>
      </c>
      <c r="U256" s="3"/>
      <c r="V256" s="3"/>
      <c r="W256" s="4">
        <v>3.2399999999999998E-3</v>
      </c>
      <c r="X256" s="3"/>
      <c r="Y256" s="4">
        <v>2.32E-3</v>
      </c>
      <c r="Z256" s="3"/>
      <c r="AA256" s="3"/>
      <c r="AB256" s="3"/>
      <c r="AC256" s="4">
        <v>3.7200000000000002E-3</v>
      </c>
      <c r="AD256" s="3"/>
      <c r="AE256" s="3"/>
    </row>
    <row r="257" spans="1:31">
      <c r="A257" s="8" t="s">
        <v>186</v>
      </c>
      <c r="B257" s="2">
        <v>13</v>
      </c>
      <c r="C257" s="2">
        <v>19.899999999999999</v>
      </c>
      <c r="D257" s="2">
        <v>17.899999999999999</v>
      </c>
      <c r="E257" s="2">
        <v>36.799999999999997</v>
      </c>
      <c r="F257" s="2">
        <v>39</v>
      </c>
      <c r="G257" s="5"/>
      <c r="H257" s="2">
        <v>15.9</v>
      </c>
      <c r="I257" s="2">
        <v>16.600000000000001</v>
      </c>
      <c r="J257" s="2">
        <v>14.6</v>
      </c>
      <c r="K257" s="2">
        <v>47.1</v>
      </c>
      <c r="L257" s="2">
        <v>11.6</v>
      </c>
      <c r="M257" s="2">
        <v>25.3</v>
      </c>
      <c r="N257" s="2">
        <v>23.3</v>
      </c>
      <c r="O257" s="2">
        <v>20.8</v>
      </c>
      <c r="P257" s="2">
        <v>17.5</v>
      </c>
      <c r="Q257" s="2">
        <v>51.4</v>
      </c>
      <c r="R257" s="5"/>
      <c r="S257" s="2">
        <v>3.39</v>
      </c>
      <c r="T257" s="2">
        <v>4.1900000000000004</v>
      </c>
      <c r="U257" s="2">
        <v>1.76</v>
      </c>
      <c r="V257" s="2">
        <v>2.2000000000000002</v>
      </c>
      <c r="W257" s="2">
        <v>0.84799999999999998</v>
      </c>
      <c r="X257" s="2">
        <v>0.84499999999999997</v>
      </c>
      <c r="Y257" s="2">
        <v>1.1499999999999999</v>
      </c>
      <c r="Z257" s="2">
        <v>2.2000000000000002</v>
      </c>
      <c r="AA257" s="2">
        <v>1.1599999999999999</v>
      </c>
      <c r="AB257" s="2">
        <v>19.7</v>
      </c>
      <c r="AC257" s="2">
        <v>10</v>
      </c>
      <c r="AD257" s="2">
        <v>33.700000000000003</v>
      </c>
      <c r="AE257" s="5"/>
    </row>
    <row r="258" spans="1:31">
      <c r="A258" s="8" t="s">
        <v>591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>
      <c r="A259" s="8" t="s">
        <v>592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>
      <c r="A260" s="8" t="s">
        <v>593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>
      <c r="A261" s="8" t="s">
        <v>187</v>
      </c>
      <c r="B261" s="2">
        <v>8.2900000000000001E-2</v>
      </c>
      <c r="C261" s="2">
        <v>9.3799999999999994E-2</v>
      </c>
      <c r="D261" s="2">
        <v>5.5100000000000003E-2</v>
      </c>
      <c r="E261" s="2">
        <v>7.4499999999999997E-2</v>
      </c>
      <c r="F261" s="2">
        <v>0.14699999999999999</v>
      </c>
      <c r="G261" s="2">
        <v>4.24E-2</v>
      </c>
      <c r="H261" s="2">
        <v>0.11899999999999999</v>
      </c>
      <c r="I261" s="2">
        <v>0.10199999999999999</v>
      </c>
      <c r="J261" s="2">
        <v>0.128</v>
      </c>
      <c r="K261" s="2">
        <v>9.4799999999999995E-2</v>
      </c>
      <c r="L261" s="2">
        <v>0.159</v>
      </c>
      <c r="M261" s="2">
        <v>0.13200000000000001</v>
      </c>
      <c r="N261" s="2">
        <v>6.93E-2</v>
      </c>
      <c r="O261" s="2">
        <v>8.1000000000000003E-2</v>
      </c>
      <c r="P261" s="2">
        <v>9.2399999999999996E-2</v>
      </c>
      <c r="Q261" s="2">
        <v>8.2299999999999998E-2</v>
      </c>
      <c r="R261" s="2">
        <v>0.114</v>
      </c>
      <c r="S261" s="2">
        <v>0.108</v>
      </c>
      <c r="T261" s="2">
        <v>4.0399999999999998E-2</v>
      </c>
      <c r="U261" s="2">
        <v>9.4700000000000006E-2</v>
      </c>
      <c r="V261" s="2">
        <v>0.10199999999999999</v>
      </c>
      <c r="W261" s="2">
        <v>0.14299999999999999</v>
      </c>
      <c r="X261" s="2">
        <v>0.105</v>
      </c>
      <c r="Y261" s="2">
        <v>0.125</v>
      </c>
      <c r="Z261" s="2">
        <v>8.2199999999999995E-2</v>
      </c>
      <c r="AA261" s="2">
        <v>6.25E-2</v>
      </c>
      <c r="AB261" s="2">
        <v>7.1199999999999999E-2</v>
      </c>
      <c r="AC261" s="2">
        <v>0.14299999999999999</v>
      </c>
      <c r="AD261" s="2">
        <v>0.11600000000000001</v>
      </c>
      <c r="AE261" s="2">
        <v>7.7899999999999997E-2</v>
      </c>
    </row>
    <row r="262" spans="1:31">
      <c r="A262" s="8" t="s">
        <v>594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>
      <c r="A263" s="8" t="s">
        <v>595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>
      <c r="A264" s="8" t="s">
        <v>596</v>
      </c>
      <c r="B264" s="3"/>
      <c r="C264" s="3"/>
      <c r="D264" s="3"/>
      <c r="E264" s="3"/>
      <c r="F264" s="4">
        <v>2.3400000000000001E-2</v>
      </c>
      <c r="G264" s="3"/>
      <c r="H264" s="3"/>
      <c r="I264" s="3"/>
      <c r="J264" s="3"/>
      <c r="K264" s="3"/>
      <c r="L264" s="3"/>
      <c r="M264" s="3"/>
      <c r="N264" s="4">
        <v>1.04E-2</v>
      </c>
      <c r="O264" s="4">
        <v>1.2E-2</v>
      </c>
      <c r="P264" s="3"/>
      <c r="Q264" s="3"/>
      <c r="R264" s="3"/>
      <c r="S264" s="3"/>
      <c r="T264" s="3"/>
      <c r="U264" s="4">
        <v>9.5300000000000003E-3</v>
      </c>
      <c r="V264" s="3"/>
      <c r="W264" s="4">
        <v>7.5700000000000003E-3</v>
      </c>
      <c r="X264" s="3"/>
      <c r="Y264" s="4">
        <v>7.6499999999999997E-3</v>
      </c>
      <c r="Z264" s="3"/>
      <c r="AA264" s="3"/>
      <c r="AB264" s="3"/>
      <c r="AC264" s="3"/>
      <c r="AD264" s="3"/>
      <c r="AE264" s="3"/>
    </row>
    <row r="265" spans="1:31">
      <c r="A265" s="8" t="s">
        <v>188</v>
      </c>
      <c r="B265" s="2">
        <v>0.13300000000000001</v>
      </c>
      <c r="C265" s="2">
        <v>0.13100000000000001</v>
      </c>
      <c r="D265" s="2">
        <v>7.9899999999999999E-2</v>
      </c>
      <c r="E265" s="2">
        <v>9.64E-2</v>
      </c>
      <c r="F265" s="2">
        <v>0.17199999999999999</v>
      </c>
      <c r="G265" s="2">
        <v>0.14699999999999999</v>
      </c>
      <c r="H265" s="2">
        <v>0.159</v>
      </c>
      <c r="I265" s="2">
        <v>0.14199999999999999</v>
      </c>
      <c r="J265" s="2">
        <v>0.17799999999999999</v>
      </c>
      <c r="K265" s="2">
        <v>0.13100000000000001</v>
      </c>
      <c r="L265" s="2">
        <v>0.155</v>
      </c>
      <c r="M265" s="2">
        <v>0.20799999999999999</v>
      </c>
      <c r="N265" s="2">
        <v>0.155</v>
      </c>
      <c r="O265" s="2">
        <v>0.22600000000000001</v>
      </c>
      <c r="P265" s="2">
        <v>0.16600000000000001</v>
      </c>
      <c r="Q265" s="2">
        <v>0.21199999999999999</v>
      </c>
      <c r="R265" s="2">
        <v>0.23599999999999999</v>
      </c>
      <c r="S265" s="2">
        <v>0.14799999999999999</v>
      </c>
      <c r="T265" s="2">
        <v>0.17499999999999999</v>
      </c>
      <c r="U265" s="2">
        <v>0.17</v>
      </c>
      <c r="V265" s="2">
        <v>0.25800000000000001</v>
      </c>
      <c r="W265" s="2">
        <v>0.20599999999999999</v>
      </c>
      <c r="X265" s="2">
        <v>0.156</v>
      </c>
      <c r="Y265" s="2">
        <v>0.191</v>
      </c>
      <c r="Z265" s="2">
        <v>0.17100000000000001</v>
      </c>
      <c r="AA265" s="5"/>
      <c r="AB265" s="2">
        <v>0.19900000000000001</v>
      </c>
      <c r="AC265" s="2">
        <v>0.18099999999999999</v>
      </c>
      <c r="AD265" s="2">
        <v>0.20100000000000001</v>
      </c>
      <c r="AE265" s="2">
        <v>0.222</v>
      </c>
    </row>
    <row r="266" spans="1:31">
      <c r="A266" s="8" t="s">
        <v>189</v>
      </c>
      <c r="B266" s="3"/>
      <c r="C266" s="4">
        <v>2.9099999999999998E-3</v>
      </c>
      <c r="D266" s="3"/>
      <c r="E266" s="3"/>
      <c r="F266" s="3"/>
      <c r="G266" s="3"/>
      <c r="H266" s="3"/>
      <c r="I266" s="4">
        <v>1.49E-3</v>
      </c>
      <c r="J266" s="3"/>
      <c r="K266" s="3"/>
      <c r="L266" s="4">
        <v>2.3999999999999998E-3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4">
        <v>2.48E-3</v>
      </c>
      <c r="X266" s="3"/>
      <c r="Y266" s="3"/>
      <c r="Z266" s="3"/>
      <c r="AA266" s="3"/>
      <c r="AB266" s="3"/>
      <c r="AC266" s="3"/>
      <c r="AD266" s="3"/>
      <c r="AE266" s="3"/>
    </row>
    <row r="267" spans="1:31">
      <c r="A267" s="8" t="s">
        <v>190</v>
      </c>
      <c r="B267" s="2">
        <v>3.4799999999999998E-2</v>
      </c>
      <c r="C267" s="2">
        <v>2.6700000000000002E-2</v>
      </c>
      <c r="D267" s="2">
        <v>7.43E-3</v>
      </c>
      <c r="E267" s="2">
        <v>4.2000000000000003E-2</v>
      </c>
      <c r="F267" s="2">
        <v>4.3900000000000002E-2</v>
      </c>
      <c r="G267" s="2">
        <v>2.9100000000000001E-2</v>
      </c>
      <c r="H267" s="2">
        <v>2.3400000000000001E-2</v>
      </c>
      <c r="I267" s="2">
        <v>3.3399999999999999E-2</v>
      </c>
      <c r="J267" s="2">
        <v>2.5499999999999998E-2</v>
      </c>
      <c r="K267" s="2">
        <v>4.4400000000000002E-2</v>
      </c>
      <c r="L267" s="2">
        <v>1.8499999999999999E-2</v>
      </c>
      <c r="M267" s="2">
        <v>4.1300000000000003E-2</v>
      </c>
      <c r="N267" s="2">
        <v>2.9600000000000001E-2</v>
      </c>
      <c r="O267" s="2">
        <v>2.2700000000000001E-2</v>
      </c>
      <c r="P267" s="2">
        <v>3.32E-2</v>
      </c>
      <c r="Q267" s="2">
        <v>4.1799999999999997E-2</v>
      </c>
      <c r="R267" s="2">
        <v>3.0499999999999999E-2</v>
      </c>
      <c r="S267" s="2">
        <v>4.0599999999999997E-2</v>
      </c>
      <c r="T267" s="2">
        <v>1.4200000000000001E-2</v>
      </c>
      <c r="U267" s="2">
        <v>2.35E-2</v>
      </c>
      <c r="V267" s="2">
        <v>4.4200000000000003E-2</v>
      </c>
      <c r="W267" s="2">
        <v>4.7699999999999999E-2</v>
      </c>
      <c r="X267" s="2">
        <v>3.0300000000000001E-2</v>
      </c>
      <c r="Y267" s="2">
        <v>3.27E-2</v>
      </c>
      <c r="Z267" s="2">
        <v>5.3900000000000003E-2</v>
      </c>
      <c r="AA267" s="5"/>
      <c r="AB267" s="2">
        <v>4.4299999999999999E-2</v>
      </c>
      <c r="AC267" s="2">
        <v>2.5899999999999999E-2</v>
      </c>
      <c r="AD267" s="2">
        <v>6.1699999999999998E-2</v>
      </c>
      <c r="AE267" s="2">
        <v>4.3999999999999997E-2</v>
      </c>
    </row>
    <row r="268" spans="1:31">
      <c r="A268" s="8" t="s">
        <v>597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>
      <c r="A269" s="8" t="s">
        <v>191</v>
      </c>
      <c r="B269" s="2">
        <v>4.0400000000000002E-3</v>
      </c>
      <c r="C269" s="2">
        <v>2.7E-2</v>
      </c>
      <c r="D269" s="2">
        <v>1.37E-2</v>
      </c>
      <c r="E269" s="5"/>
      <c r="F269" s="5"/>
      <c r="G269" s="2">
        <v>6.1399999999999996E-3</v>
      </c>
      <c r="H269" s="2">
        <v>2.81E-2</v>
      </c>
      <c r="I269" s="2">
        <v>1.5299999999999999E-2</v>
      </c>
      <c r="J269" s="2">
        <v>1.5299999999999999E-2</v>
      </c>
      <c r="K269" s="5"/>
      <c r="L269" s="2">
        <v>2.1999999999999999E-2</v>
      </c>
      <c r="M269" s="2">
        <v>6.9199999999999999E-3</v>
      </c>
      <c r="N269" s="2">
        <v>5.7400000000000003E-3</v>
      </c>
      <c r="O269" s="2">
        <v>4.6600000000000001E-3</v>
      </c>
      <c r="P269" s="2">
        <v>5.4599999999999996E-3</v>
      </c>
      <c r="Q269" s="5"/>
      <c r="R269" s="2">
        <v>8.2900000000000005E-3</v>
      </c>
      <c r="S269" s="5"/>
      <c r="T269" s="2">
        <v>4.5399999999999998E-3</v>
      </c>
      <c r="U269" s="2">
        <v>8.9700000000000005E-3</v>
      </c>
      <c r="V269" s="2">
        <v>7.6299999999999996E-3</v>
      </c>
      <c r="W269" s="2">
        <v>1.06E-2</v>
      </c>
      <c r="X269" s="2">
        <v>7.3099999999999997E-3</v>
      </c>
      <c r="Y269" s="2">
        <v>7.1700000000000002E-3</v>
      </c>
      <c r="Z269" s="2">
        <v>9.92E-3</v>
      </c>
      <c r="AA269" s="2">
        <v>5.9899999999999997E-3</v>
      </c>
      <c r="AB269" s="2">
        <v>4.8799999999999998E-3</v>
      </c>
      <c r="AC269" s="2">
        <v>1.61E-2</v>
      </c>
      <c r="AD269" s="5"/>
      <c r="AE269" s="2">
        <v>9.7099999999999999E-3</v>
      </c>
    </row>
    <row r="270" spans="1:31">
      <c r="A270" s="8" t="s">
        <v>598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>
      <c r="A271" s="8" t="s">
        <v>192</v>
      </c>
      <c r="B271" s="2">
        <v>7.1800000000000003E-2</v>
      </c>
      <c r="C271" s="2">
        <v>0.112</v>
      </c>
      <c r="D271" s="2">
        <v>8.6999999999999994E-2</v>
      </c>
      <c r="E271" s="2">
        <v>0.17100000000000001</v>
      </c>
      <c r="F271" s="2">
        <v>0.33200000000000002</v>
      </c>
      <c r="G271" s="2">
        <v>6.0100000000000001E-2</v>
      </c>
      <c r="H271" s="2">
        <v>0.11700000000000001</v>
      </c>
      <c r="I271" s="2">
        <v>8.8800000000000004E-2</v>
      </c>
      <c r="J271" s="2">
        <v>0.13700000000000001</v>
      </c>
      <c r="K271" s="2">
        <v>0.14499999999999999</v>
      </c>
      <c r="L271" s="2">
        <v>0.14599999999999999</v>
      </c>
      <c r="M271" s="2">
        <v>0.11600000000000001</v>
      </c>
      <c r="N271" s="2">
        <v>8.4900000000000003E-2</v>
      </c>
      <c r="O271" s="2">
        <v>9.98E-2</v>
      </c>
      <c r="P271" s="2">
        <v>0.109</v>
      </c>
      <c r="Q271" s="2">
        <v>0.23100000000000001</v>
      </c>
      <c r="R271" s="2">
        <v>0.16200000000000001</v>
      </c>
      <c r="S271" s="2">
        <v>8.7499999999999994E-2</v>
      </c>
      <c r="T271" s="2">
        <v>6.5299999999999997E-2</v>
      </c>
      <c r="U271" s="2">
        <v>3.5900000000000001E-2</v>
      </c>
      <c r="V271" s="2">
        <v>6.2199999999999998E-2</v>
      </c>
      <c r="W271" s="2">
        <v>0.115</v>
      </c>
      <c r="X271" s="2">
        <v>9.2499999999999999E-2</v>
      </c>
      <c r="Y271" s="2">
        <v>0.14299999999999999</v>
      </c>
      <c r="Z271" s="2">
        <v>0.127</v>
      </c>
      <c r="AA271" s="5"/>
      <c r="AB271" s="2">
        <v>8.8300000000000003E-2</v>
      </c>
      <c r="AC271" s="2">
        <v>0.14699999999999999</v>
      </c>
      <c r="AD271" s="2">
        <v>0.26400000000000001</v>
      </c>
      <c r="AE271" s="2">
        <v>9.1499999999999998E-2</v>
      </c>
    </row>
    <row r="272" spans="1:31">
      <c r="A272" s="8" t="s">
        <v>599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>
      <c r="A273" s="8" t="s">
        <v>600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>
      <c r="A274" s="8" t="s">
        <v>601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4">
        <v>5.9800000000000001E-3</v>
      </c>
      <c r="W274" s="4">
        <v>5.7800000000000004E-3</v>
      </c>
      <c r="X274" s="4">
        <v>5.6800000000000002E-3</v>
      </c>
      <c r="Y274" s="4">
        <v>6.9199999999999999E-3</v>
      </c>
      <c r="Z274" s="4">
        <v>8.0199999999999994E-3</v>
      </c>
      <c r="AA274" s="3"/>
      <c r="AB274" s="3"/>
      <c r="AC274" s="3"/>
      <c r="AD274" s="3"/>
      <c r="AE274" s="3"/>
    </row>
    <row r="275" spans="1:31">
      <c r="A275" s="8" t="s">
        <v>602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>
      <c r="A276" s="8" t="s">
        <v>193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>
        <v>1.4E-3</v>
      </c>
      <c r="V276" s="3"/>
      <c r="W276" s="4">
        <v>5.47E-3</v>
      </c>
      <c r="X276" s="3"/>
      <c r="Y276" s="3"/>
      <c r="Z276" s="3"/>
      <c r="AA276" s="3"/>
      <c r="AB276" s="3"/>
      <c r="AC276" s="3"/>
      <c r="AD276" s="3"/>
      <c r="AE276" s="4">
        <v>7.6699999999999997E-3</v>
      </c>
    </row>
    <row r="277" spans="1:31">
      <c r="A277" s="8" t="s">
        <v>603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>
      <c r="A278" s="8" t="s">
        <v>604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>
      <c r="A279" s="8" t="s">
        <v>605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>
      <c r="A280" s="8" t="s">
        <v>606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4">
        <v>2.2100000000000002E-3</v>
      </c>
      <c r="X280" s="3"/>
      <c r="Y280" s="3"/>
      <c r="Z280" s="3"/>
      <c r="AA280" s="3"/>
      <c r="AB280" s="3"/>
      <c r="AC280" s="3"/>
      <c r="AD280" s="3"/>
      <c r="AE280" s="3"/>
    </row>
    <row r="281" spans="1:31">
      <c r="A281" s="8" t="s">
        <v>607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>
      <c r="A282" s="8" t="s">
        <v>608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>
      <c r="A283" s="8" t="s">
        <v>609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>
      <c r="A284" s="8" t="s">
        <v>610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>
      <c r="A285" s="8" t="s">
        <v>194</v>
      </c>
      <c r="B285" s="2">
        <v>3.3300000000000003E-2</v>
      </c>
      <c r="C285" s="2">
        <v>4.7100000000000003E-2</v>
      </c>
      <c r="D285" s="2">
        <v>3.9300000000000002E-2</v>
      </c>
      <c r="E285" s="2">
        <v>3.7499999999999999E-2</v>
      </c>
      <c r="F285" s="2">
        <v>6.2899999999999998E-2</v>
      </c>
      <c r="G285" s="2">
        <v>5.9299999999999999E-2</v>
      </c>
      <c r="H285" s="2">
        <v>5.28E-2</v>
      </c>
      <c r="I285" s="2">
        <v>5.62E-2</v>
      </c>
      <c r="J285" s="2">
        <v>3.61E-2</v>
      </c>
      <c r="K285" s="2">
        <v>2.3400000000000001E-2</v>
      </c>
      <c r="L285" s="2">
        <v>8.1799999999999998E-2</v>
      </c>
      <c r="M285" s="2">
        <v>2.2800000000000001E-2</v>
      </c>
      <c r="N285" s="2">
        <v>1.4800000000000001E-2</v>
      </c>
      <c r="O285" s="2">
        <v>1.83E-2</v>
      </c>
      <c r="P285" s="2">
        <v>3.6499999999999998E-2</v>
      </c>
      <c r="Q285" s="2">
        <v>1.2999999999999999E-2</v>
      </c>
      <c r="R285" s="2">
        <v>1.5299999999999999E-2</v>
      </c>
      <c r="S285" s="2">
        <v>7.7400000000000004E-3</v>
      </c>
      <c r="T285" s="5"/>
      <c r="U285" s="2">
        <v>0.107</v>
      </c>
      <c r="V285" s="2">
        <v>5.7499999999999999E-3</v>
      </c>
      <c r="W285" s="2">
        <v>2.9000000000000001E-2</v>
      </c>
      <c r="X285" s="2">
        <v>5.7000000000000002E-3</v>
      </c>
      <c r="Y285" s="2">
        <v>1.06E-2</v>
      </c>
      <c r="Z285" s="2">
        <v>3.7600000000000001E-2</v>
      </c>
      <c r="AA285" s="5"/>
      <c r="AB285" s="2">
        <v>3.7400000000000003E-2</v>
      </c>
      <c r="AC285" s="2">
        <v>4.4200000000000003E-2</v>
      </c>
      <c r="AD285" s="2">
        <v>2.7199999999999998E-2</v>
      </c>
      <c r="AE285" s="2">
        <v>3.4700000000000002E-2</v>
      </c>
    </row>
    <row r="286" spans="1:31">
      <c r="A286" s="8" t="s">
        <v>611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>
      <c r="A287" s="8" t="s">
        <v>612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>
      <c r="A288" s="8" t="s">
        <v>195</v>
      </c>
      <c r="B288" s="3"/>
      <c r="C288" s="4">
        <v>4.3600000000000002E-3</v>
      </c>
      <c r="D288" s="3"/>
      <c r="E288" s="3"/>
      <c r="F288" s="3"/>
      <c r="G288" s="3"/>
      <c r="H288" s="3"/>
      <c r="I288" s="4">
        <v>1.81E-3</v>
      </c>
      <c r="J288" s="3"/>
      <c r="K288" s="3"/>
      <c r="L288" s="4">
        <v>3.29E-3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4">
        <v>2.33E-3</v>
      </c>
      <c r="X288" s="3"/>
      <c r="Y288" s="3"/>
      <c r="Z288" s="3"/>
      <c r="AA288" s="3"/>
      <c r="AB288" s="3"/>
      <c r="AC288" s="4">
        <v>2.63E-3</v>
      </c>
      <c r="AD288" s="3"/>
      <c r="AE288" s="3"/>
    </row>
    <row r="289" spans="1:31">
      <c r="A289" s="8" t="s">
        <v>196</v>
      </c>
      <c r="B289" s="5"/>
      <c r="C289" s="2">
        <v>2.2000000000000001E-3</v>
      </c>
      <c r="D289" s="5"/>
      <c r="E289" s="5"/>
      <c r="F289" s="5"/>
      <c r="G289" s="5"/>
      <c r="H289" s="5"/>
      <c r="I289" s="2">
        <v>8.3699999999999996E-4</v>
      </c>
      <c r="J289" s="5"/>
      <c r="K289" s="5"/>
      <c r="L289" s="2">
        <v>7.3200000000000001E-4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>
      <c r="A290" s="8" t="s">
        <v>613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>
      <c r="A291" s="8" t="s">
        <v>197</v>
      </c>
      <c r="B291" s="5"/>
      <c r="C291" s="5"/>
      <c r="D291" s="5"/>
      <c r="E291" s="5"/>
      <c r="F291" s="2">
        <v>1.0500000000000001E-2</v>
      </c>
      <c r="G291" s="2">
        <v>7.9900000000000006E-3</v>
      </c>
      <c r="H291" s="2">
        <v>1.18E-2</v>
      </c>
      <c r="I291" s="2">
        <v>9.0699999999999999E-3</v>
      </c>
      <c r="J291" s="5"/>
      <c r="K291" s="5"/>
      <c r="L291" s="2">
        <v>1.03E-2</v>
      </c>
      <c r="M291" s="2">
        <v>7.5199999999999998E-3</v>
      </c>
      <c r="N291" s="5"/>
      <c r="O291" s="5"/>
      <c r="P291" s="2">
        <v>1.2E-2</v>
      </c>
      <c r="Q291" s="2">
        <v>5.2500000000000003E-3</v>
      </c>
      <c r="R291" s="2">
        <v>2.0799999999999999E-2</v>
      </c>
      <c r="S291" s="5"/>
      <c r="T291" s="5"/>
      <c r="U291" s="5"/>
      <c r="V291" s="5"/>
      <c r="W291" s="5"/>
      <c r="X291" s="5"/>
      <c r="Y291" s="5"/>
      <c r="Z291" s="5"/>
      <c r="AA291" s="2">
        <v>5.4000000000000003E-3</v>
      </c>
      <c r="AB291" s="2">
        <v>1.21E-2</v>
      </c>
      <c r="AC291" s="2">
        <v>1.26E-2</v>
      </c>
      <c r="AD291" s="2">
        <v>7.1399999999999996E-3</v>
      </c>
      <c r="AE291" s="5"/>
    </row>
    <row r="292" spans="1:31">
      <c r="A292" s="8" t="s">
        <v>614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>
      <c r="A293" s="8" t="s">
        <v>198</v>
      </c>
      <c r="B293" s="2">
        <v>5.4699999999999999E-2</v>
      </c>
      <c r="C293" s="2">
        <v>0.13600000000000001</v>
      </c>
      <c r="D293" s="2">
        <v>0.128</v>
      </c>
      <c r="E293" s="2">
        <v>0.191</v>
      </c>
      <c r="F293" s="2">
        <v>0.76900000000000002</v>
      </c>
      <c r="G293" s="2">
        <v>5.28E-2</v>
      </c>
      <c r="H293" s="2">
        <v>0.17899999999999999</v>
      </c>
      <c r="I293" s="2">
        <v>0.104</v>
      </c>
      <c r="J293" s="2">
        <v>0.27700000000000002</v>
      </c>
      <c r="K293" s="2">
        <v>0.28599999999999998</v>
      </c>
      <c r="L293" s="2">
        <v>0.27300000000000002</v>
      </c>
      <c r="M293" s="2">
        <v>7.8700000000000006E-2</v>
      </c>
      <c r="N293" s="2">
        <v>8.3699999999999997E-2</v>
      </c>
      <c r="O293" s="2">
        <v>0.182</v>
      </c>
      <c r="P293" s="2">
        <v>0.224</v>
      </c>
      <c r="Q293" s="2">
        <v>0.19700000000000001</v>
      </c>
      <c r="R293" s="2">
        <v>0.188</v>
      </c>
      <c r="S293" s="2">
        <v>7.5600000000000001E-2</v>
      </c>
      <c r="T293" s="2">
        <v>5.3100000000000001E-2</v>
      </c>
      <c r="U293" s="2">
        <v>6.0999999999999999E-2</v>
      </c>
      <c r="V293" s="2">
        <v>0.11700000000000001</v>
      </c>
      <c r="W293" s="2">
        <v>0.20699999999999999</v>
      </c>
      <c r="X293" s="2">
        <v>0.111</v>
      </c>
      <c r="Y293" s="2">
        <v>0.26600000000000001</v>
      </c>
      <c r="Z293" s="2">
        <v>0.14000000000000001</v>
      </c>
      <c r="AA293" s="5"/>
      <c r="AB293" s="2">
        <v>8.7599999999999997E-2</v>
      </c>
      <c r="AC293" s="2">
        <v>0.26500000000000001</v>
      </c>
      <c r="AD293" s="2">
        <v>0.45100000000000001</v>
      </c>
      <c r="AE293" s="2">
        <v>8.48E-2</v>
      </c>
    </row>
    <row r="294" spans="1:31">
      <c r="A294" s="8" t="s">
        <v>615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>
      <c r="A295" s="8" t="s">
        <v>616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>
      <c r="A296" s="8" t="s">
        <v>617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4">
        <v>2.3400000000000001E-3</v>
      </c>
      <c r="X296" s="3"/>
      <c r="Y296" s="3"/>
      <c r="Z296" s="3"/>
      <c r="AA296" s="3"/>
      <c r="AB296" s="3"/>
      <c r="AC296" s="3"/>
      <c r="AD296" s="3"/>
      <c r="AE296" s="3"/>
    </row>
    <row r="297" spans="1:31">
      <c r="A297" s="8" t="s">
        <v>199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2">
        <v>4.9699999999999996E-3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2">
        <v>3.3999999999999998E-3</v>
      </c>
      <c r="X297" s="5"/>
      <c r="Y297" s="5"/>
      <c r="Z297" s="5"/>
      <c r="AA297" s="5"/>
      <c r="AB297" s="5"/>
      <c r="AC297" s="2">
        <v>6.0499999999999998E-3</v>
      </c>
      <c r="AD297" s="5"/>
      <c r="AE297" s="5"/>
    </row>
    <row r="298" spans="1:31">
      <c r="A298" s="8" t="s">
        <v>618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4">
        <v>1.9499999999999999E-3</v>
      </c>
      <c r="X298" s="3"/>
      <c r="Y298" s="3"/>
      <c r="Z298" s="3"/>
      <c r="AA298" s="3"/>
      <c r="AB298" s="3"/>
      <c r="AC298" s="3"/>
      <c r="AD298" s="3"/>
      <c r="AE298" s="3"/>
    </row>
    <row r="299" spans="1:31">
      <c r="A299" s="8" t="s">
        <v>200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2">
        <v>1.98E-3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2">
        <v>2.48E-3</v>
      </c>
      <c r="X299" s="5"/>
      <c r="Y299" s="5"/>
      <c r="Z299" s="5"/>
      <c r="AA299" s="5"/>
      <c r="AB299" s="5"/>
      <c r="AC299" s="2">
        <v>1.6999999999999999E-3</v>
      </c>
      <c r="AD299" s="5"/>
      <c r="AE299" s="5"/>
    </row>
    <row r="300" spans="1:31">
      <c r="A300" s="8" t="s">
        <v>201</v>
      </c>
      <c r="B300" s="3"/>
      <c r="C300" s="4">
        <v>6.8100000000000001E-3</v>
      </c>
      <c r="D300" s="3"/>
      <c r="E300" s="3"/>
      <c r="F300" s="3"/>
      <c r="G300" s="3"/>
      <c r="H300" s="4">
        <v>5.3600000000000002E-3</v>
      </c>
      <c r="I300" s="4">
        <v>3.14E-3</v>
      </c>
      <c r="J300" s="3"/>
      <c r="K300" s="3"/>
      <c r="L300" s="4">
        <v>6.1700000000000001E-3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4">
        <v>5.2900000000000004E-3</v>
      </c>
      <c r="X300" s="3"/>
      <c r="Y300" s="3"/>
      <c r="Z300" s="3"/>
      <c r="AA300" s="3"/>
      <c r="AB300" s="3"/>
      <c r="AC300" s="4">
        <v>5.5999999999999999E-3</v>
      </c>
      <c r="AD300" s="3"/>
      <c r="AE300" s="3"/>
    </row>
    <row r="301" spans="1:31">
      <c r="A301" s="8" t="s">
        <v>202</v>
      </c>
      <c r="B301" s="5"/>
      <c r="C301" s="2">
        <v>4.1099999999999999E-3</v>
      </c>
      <c r="D301" s="2">
        <v>2.7399999999999998E-3</v>
      </c>
      <c r="E301" s="5"/>
      <c r="F301" s="5"/>
      <c r="G301" s="5"/>
      <c r="H301" s="5"/>
      <c r="I301" s="2">
        <v>1.6999999999999999E-3</v>
      </c>
      <c r="J301" s="5"/>
      <c r="K301" s="5"/>
      <c r="L301" s="2">
        <v>1.7600000000000001E-3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>
      <c r="A302" s="8" t="s">
        <v>203</v>
      </c>
      <c r="B302" s="3"/>
      <c r="C302" s="3"/>
      <c r="D302" s="4">
        <v>1.6899999999999998E-2</v>
      </c>
      <c r="E302" s="3"/>
      <c r="F302" s="3"/>
      <c r="G302" s="3"/>
      <c r="H302" s="4">
        <v>1.2699999999999999E-2</v>
      </c>
      <c r="I302" s="4">
        <v>1.41E-2</v>
      </c>
      <c r="J302" s="3"/>
      <c r="K302" s="3"/>
      <c r="L302" s="4">
        <v>8.5900000000000004E-3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4">
        <v>6.2599999999999999E-3</v>
      </c>
      <c r="AD302" s="3"/>
      <c r="AE302" s="3"/>
    </row>
    <row r="303" spans="1:31">
      <c r="A303" s="8" t="s">
        <v>619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>
      <c r="A304" s="8" t="s">
        <v>204</v>
      </c>
      <c r="B304" s="3"/>
      <c r="C304" s="4">
        <v>4.0499999999999998E-3</v>
      </c>
      <c r="D304" s="4">
        <v>3.0799999999999998E-3</v>
      </c>
      <c r="E304" s="3"/>
      <c r="F304" s="3"/>
      <c r="G304" s="3"/>
      <c r="H304" s="3"/>
      <c r="I304" s="3"/>
      <c r="J304" s="3"/>
      <c r="K304" s="3"/>
      <c r="L304" s="4">
        <v>3.5000000000000001E-3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4">
        <v>3.0799999999999998E-3</v>
      </c>
      <c r="X304" s="3"/>
      <c r="Y304" s="3"/>
      <c r="Z304" s="3"/>
      <c r="AA304" s="3"/>
      <c r="AB304" s="3"/>
      <c r="AC304" s="4">
        <v>2.5799999999999998E-3</v>
      </c>
      <c r="AD304" s="3"/>
      <c r="AE304" s="3"/>
    </row>
    <row r="305" spans="1:31">
      <c r="A305" s="8" t="s">
        <v>205</v>
      </c>
      <c r="B305" s="5"/>
      <c r="C305" s="2">
        <v>1.7899999999999999E-2</v>
      </c>
      <c r="D305" s="2">
        <v>1.2999999999999999E-2</v>
      </c>
      <c r="E305" s="5"/>
      <c r="F305" s="5"/>
      <c r="G305" s="5"/>
      <c r="H305" s="2">
        <v>8.8900000000000003E-3</v>
      </c>
      <c r="I305" s="2">
        <v>9.9399999999999992E-3</v>
      </c>
      <c r="J305" s="5"/>
      <c r="K305" s="5"/>
      <c r="L305" s="2">
        <v>1.29E-2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2">
        <v>3.0999999999999999E-3</v>
      </c>
      <c r="X305" s="5"/>
      <c r="Y305" s="5"/>
      <c r="Z305" s="5"/>
      <c r="AA305" s="5"/>
      <c r="AB305" s="5"/>
      <c r="AC305" s="2">
        <v>8.7200000000000003E-3</v>
      </c>
      <c r="AD305" s="5"/>
      <c r="AE305" s="5"/>
    </row>
    <row r="306" spans="1:31">
      <c r="A306" s="8" t="s">
        <v>206</v>
      </c>
      <c r="B306" s="3"/>
      <c r="C306" s="3"/>
      <c r="D306" s="3"/>
      <c r="E306" s="4">
        <v>0.115</v>
      </c>
      <c r="F306" s="4">
        <v>0.21099999999999999</v>
      </c>
      <c r="G306" s="4">
        <v>7.8799999999999995E-2</v>
      </c>
      <c r="H306" s="3"/>
      <c r="I306" s="3"/>
      <c r="J306" s="3"/>
      <c r="K306" s="4">
        <v>9.6600000000000005E-2</v>
      </c>
      <c r="L306" s="3"/>
      <c r="M306" s="3"/>
      <c r="N306" s="3"/>
      <c r="O306" s="3"/>
      <c r="P306" s="3"/>
      <c r="Q306" s="4">
        <v>0.14299999999999999</v>
      </c>
      <c r="R306" s="4">
        <v>0.17299999999999999</v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4">
        <v>0.14499999999999999</v>
      </c>
      <c r="AE306" s="4">
        <v>0.115</v>
      </c>
    </row>
    <row r="307" spans="1:31">
      <c r="A307" s="8" t="s">
        <v>207</v>
      </c>
      <c r="B307" s="2">
        <v>6.5799999999999999E-3</v>
      </c>
      <c r="C307" s="2">
        <v>3.1300000000000001E-2</v>
      </c>
      <c r="D307" s="2">
        <v>2.98E-2</v>
      </c>
      <c r="E307" s="5"/>
      <c r="F307" s="5"/>
      <c r="G307" s="5"/>
      <c r="H307" s="2">
        <v>2.53E-2</v>
      </c>
      <c r="I307" s="2">
        <v>1.5800000000000002E-2</v>
      </c>
      <c r="J307" s="2">
        <v>2.64E-2</v>
      </c>
      <c r="K307" s="5"/>
      <c r="L307" s="2">
        <v>4.1599999999999998E-2</v>
      </c>
      <c r="M307" s="5"/>
      <c r="N307" s="2">
        <v>1.14E-2</v>
      </c>
      <c r="O307" s="2">
        <v>2.9000000000000001E-2</v>
      </c>
      <c r="P307" s="2">
        <v>3.3700000000000001E-2</v>
      </c>
      <c r="Q307" s="5"/>
      <c r="R307" s="5"/>
      <c r="S307" s="5"/>
      <c r="T307" s="2">
        <v>4.7899999999999998E-2</v>
      </c>
      <c r="U307" s="5"/>
      <c r="V307" s="5"/>
      <c r="W307" s="2">
        <v>1.21E-2</v>
      </c>
      <c r="X307" s="2">
        <v>0.11799999999999999</v>
      </c>
      <c r="Y307" s="2">
        <v>3.4000000000000002E-2</v>
      </c>
      <c r="Z307" s="5"/>
      <c r="AA307" s="5"/>
      <c r="AB307" s="5"/>
      <c r="AC307" s="2">
        <v>3.3099999999999997E-2</v>
      </c>
      <c r="AD307" s="5"/>
      <c r="AE307" s="5"/>
    </row>
    <row r="308" spans="1:31">
      <c r="A308" s="8" t="s">
        <v>208</v>
      </c>
      <c r="B308" s="4">
        <v>8.3900000000000002E-2</v>
      </c>
      <c r="C308" s="4">
        <v>8.5800000000000001E-2</v>
      </c>
      <c r="D308" s="4">
        <v>5.4600000000000003E-2</v>
      </c>
      <c r="E308" s="3"/>
      <c r="F308" s="3"/>
      <c r="G308" s="3"/>
      <c r="H308" s="4">
        <v>0.107</v>
      </c>
      <c r="I308" s="4">
        <v>8.9700000000000002E-2</v>
      </c>
      <c r="J308" s="4">
        <v>9.6699999999999994E-2</v>
      </c>
      <c r="K308" s="3"/>
      <c r="L308" s="4">
        <v>0.113</v>
      </c>
      <c r="M308" s="4">
        <v>0.127</v>
      </c>
      <c r="N308" s="4">
        <v>6.7900000000000002E-2</v>
      </c>
      <c r="O308" s="4">
        <v>0.123</v>
      </c>
      <c r="P308" s="4">
        <v>0.104</v>
      </c>
      <c r="Q308" s="3"/>
      <c r="R308" s="3"/>
      <c r="S308" s="4">
        <v>0.114</v>
      </c>
      <c r="T308" s="4">
        <v>6.8199999999999997E-2</v>
      </c>
      <c r="U308" s="4">
        <v>8.3000000000000004E-2</v>
      </c>
      <c r="V308" s="4">
        <v>0.124</v>
      </c>
      <c r="W308" s="4">
        <v>0.14799999999999999</v>
      </c>
      <c r="X308" s="3"/>
      <c r="Y308" s="4">
        <v>0.11899999999999999</v>
      </c>
      <c r="Z308" s="4">
        <v>0.11700000000000001</v>
      </c>
      <c r="AA308" s="3"/>
      <c r="AB308" s="4">
        <v>0.107</v>
      </c>
      <c r="AC308" s="4">
        <v>0.12</v>
      </c>
      <c r="AD308" s="3"/>
      <c r="AE308" s="3"/>
    </row>
    <row r="309" spans="1:31">
      <c r="A309" s="8" t="s">
        <v>620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>
      <c r="A310" s="8" t="s">
        <v>621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>
      <c r="A311" s="8" t="s">
        <v>209</v>
      </c>
      <c r="B311" s="2">
        <v>8.1799999999999998E-2</v>
      </c>
      <c r="C311" s="2">
        <v>8.2100000000000006E-2</v>
      </c>
      <c r="D311" s="2">
        <v>4.82E-2</v>
      </c>
      <c r="E311" s="2">
        <v>7.1800000000000003E-2</v>
      </c>
      <c r="F311" s="2">
        <v>0.13100000000000001</v>
      </c>
      <c r="G311" s="2">
        <v>5.0200000000000002E-2</v>
      </c>
      <c r="H311" s="2">
        <v>0.104</v>
      </c>
      <c r="I311" s="2">
        <v>9.4E-2</v>
      </c>
      <c r="J311" s="2">
        <v>0.10199999999999999</v>
      </c>
      <c r="K311" s="2">
        <v>0.16500000000000001</v>
      </c>
      <c r="L311" s="2">
        <v>0.105</v>
      </c>
      <c r="M311" s="2">
        <v>0.111</v>
      </c>
      <c r="N311" s="2">
        <v>7.5800000000000006E-2</v>
      </c>
      <c r="O311" s="2">
        <v>4.8800000000000003E-2</v>
      </c>
      <c r="P311" s="2">
        <v>8.4000000000000005E-2</v>
      </c>
      <c r="Q311" s="2">
        <v>0.17899999999999999</v>
      </c>
      <c r="R311" s="2">
        <v>0.13200000000000001</v>
      </c>
      <c r="S311" s="2">
        <v>0.107</v>
      </c>
      <c r="T311" s="2">
        <v>0.20699999999999999</v>
      </c>
      <c r="U311" s="2">
        <v>7.5700000000000003E-2</v>
      </c>
      <c r="V311" s="2">
        <v>0.13400000000000001</v>
      </c>
      <c r="W311" s="2">
        <v>0.11799999999999999</v>
      </c>
      <c r="X311" s="2">
        <v>8.3699999999999997E-2</v>
      </c>
      <c r="Y311" s="2">
        <v>0.109</v>
      </c>
      <c r="Z311" s="2">
        <v>0.11700000000000001</v>
      </c>
      <c r="AA311" s="2">
        <v>7.3800000000000004E-2</v>
      </c>
      <c r="AB311" s="2">
        <v>8.3400000000000002E-2</v>
      </c>
      <c r="AC311" s="2">
        <v>0.10299999999999999</v>
      </c>
      <c r="AD311" s="2">
        <v>0.216</v>
      </c>
      <c r="AE311" s="2">
        <v>8.43E-2</v>
      </c>
    </row>
    <row r="312" spans="1:31">
      <c r="A312" s="8" t="s">
        <v>622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>
      <c r="A313" s="8" t="s">
        <v>623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>
      <c r="A314" s="8" t="s">
        <v>624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>
      <c r="A315" s="8" t="s">
        <v>625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>
      <c r="A316" s="8" t="s">
        <v>210</v>
      </c>
      <c r="B316" s="4">
        <v>8.8300000000000003E-2</v>
      </c>
      <c r="C316" s="4">
        <v>5.8200000000000002E-2</v>
      </c>
      <c r="D316" s="4">
        <v>3.4099999999999998E-2</v>
      </c>
      <c r="E316" s="4">
        <v>3.8100000000000002E-2</v>
      </c>
      <c r="F316" s="4">
        <v>8.5099999999999995E-2</v>
      </c>
      <c r="G316" s="4">
        <v>9.64E-2</v>
      </c>
      <c r="H316" s="4">
        <v>9.3799999999999994E-2</v>
      </c>
      <c r="I316" s="4">
        <v>6.7199999999999996E-2</v>
      </c>
      <c r="J316" s="4">
        <v>9.6600000000000005E-2</v>
      </c>
      <c r="K316" s="4">
        <v>3.5400000000000001E-2</v>
      </c>
      <c r="L316" s="4">
        <v>0.115</v>
      </c>
      <c r="M316" s="4">
        <v>0.13300000000000001</v>
      </c>
      <c r="N316" s="4">
        <v>5.9299999999999999E-2</v>
      </c>
      <c r="O316" s="4">
        <v>9.1300000000000006E-2</v>
      </c>
      <c r="P316" s="4">
        <v>0.114</v>
      </c>
      <c r="Q316" s="4">
        <v>5.3600000000000002E-2</v>
      </c>
      <c r="R316" s="4">
        <v>0.155</v>
      </c>
      <c r="S316" s="4">
        <v>7.5499999999999998E-2</v>
      </c>
      <c r="T316" s="4">
        <v>6.3899999999999998E-2</v>
      </c>
      <c r="U316" s="4">
        <v>7.0400000000000004E-2</v>
      </c>
      <c r="V316" s="4">
        <v>0.13200000000000001</v>
      </c>
      <c r="W316" s="4">
        <v>0.16300000000000001</v>
      </c>
      <c r="X316" s="4">
        <v>0.112</v>
      </c>
      <c r="Y316" s="4">
        <v>0.17</v>
      </c>
      <c r="Z316" s="4">
        <v>0.112</v>
      </c>
      <c r="AA316" s="4">
        <v>7.4300000000000005E-2</v>
      </c>
      <c r="AB316" s="4">
        <v>9.3899999999999997E-2</v>
      </c>
      <c r="AC316" s="4">
        <v>0.12</v>
      </c>
      <c r="AD316" s="4">
        <v>8.9599999999999999E-2</v>
      </c>
      <c r="AE316" s="4">
        <v>0.109</v>
      </c>
    </row>
    <row r="317" spans="1:31">
      <c r="A317" s="8" t="s">
        <v>211</v>
      </c>
      <c r="B317" s="2">
        <v>0.192</v>
      </c>
      <c r="C317" s="2">
        <v>0.17299999999999999</v>
      </c>
      <c r="D317" s="2">
        <v>9.4E-2</v>
      </c>
      <c r="E317" s="2">
        <v>0.28899999999999998</v>
      </c>
      <c r="F317" s="2">
        <v>0.58799999999999997</v>
      </c>
      <c r="G317" s="2">
        <v>0.155</v>
      </c>
      <c r="H317" s="2">
        <v>0.30199999999999999</v>
      </c>
      <c r="I317" s="2">
        <v>0.24299999999999999</v>
      </c>
      <c r="J317" s="2">
        <v>0.32200000000000001</v>
      </c>
      <c r="K317" s="2">
        <v>0.44800000000000001</v>
      </c>
      <c r="L317" s="2">
        <v>0.32300000000000001</v>
      </c>
      <c r="M317" s="2">
        <v>0.23899999999999999</v>
      </c>
      <c r="N317" s="2">
        <v>0.19</v>
      </c>
      <c r="O317" s="2">
        <v>0.20399999999999999</v>
      </c>
      <c r="P317" s="2">
        <v>0.26600000000000001</v>
      </c>
      <c r="Q317" s="2">
        <v>0.36</v>
      </c>
      <c r="R317" s="2">
        <v>0.434</v>
      </c>
      <c r="S317" s="2">
        <v>0.24</v>
      </c>
      <c r="T317" s="2">
        <v>0.36399999999999999</v>
      </c>
      <c r="U317" s="2">
        <v>0.20300000000000001</v>
      </c>
      <c r="V317" s="2">
        <v>0.318</v>
      </c>
      <c r="W317" s="2">
        <v>0.371</v>
      </c>
      <c r="X317" s="2">
        <v>0.28799999999999998</v>
      </c>
      <c r="Y317" s="2">
        <v>0.36399999999999999</v>
      </c>
      <c r="Z317" s="2">
        <v>0.372</v>
      </c>
      <c r="AA317" s="2">
        <v>0.24099999999999999</v>
      </c>
      <c r="AB317" s="2">
        <v>0.23100000000000001</v>
      </c>
      <c r="AC317" s="2">
        <v>0.33700000000000002</v>
      </c>
      <c r="AD317" s="2">
        <v>0.57899999999999996</v>
      </c>
      <c r="AE317" s="2">
        <v>0.255</v>
      </c>
    </row>
    <row r="318" spans="1:31">
      <c r="A318" s="8" t="s">
        <v>626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>
      <c r="A319" s="8" t="s">
        <v>627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2">
        <v>2.49E-3</v>
      </c>
      <c r="X319" s="5"/>
      <c r="Y319" s="5"/>
      <c r="Z319" s="5"/>
      <c r="AA319" s="5"/>
      <c r="AB319" s="5"/>
      <c r="AC319" s="5"/>
      <c r="AD319" s="5"/>
      <c r="AE319" s="5"/>
    </row>
    <row r="320" spans="1:31">
      <c r="A320" s="8" t="s">
        <v>628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>
      <c r="A321" s="8" t="s">
        <v>212</v>
      </c>
      <c r="B321" s="2">
        <v>0.126</v>
      </c>
      <c r="C321" s="2">
        <v>7.0999999999999994E-2</v>
      </c>
      <c r="D321" s="2">
        <v>9.4399999999999998E-2</v>
      </c>
      <c r="E321" s="2">
        <v>0.21</v>
      </c>
      <c r="F321" s="2">
        <v>0.16800000000000001</v>
      </c>
      <c r="G321" s="2">
        <v>0.12</v>
      </c>
      <c r="H321" s="2">
        <v>7.5300000000000006E-2</v>
      </c>
      <c r="I321" s="2">
        <v>6.6600000000000006E-2</v>
      </c>
      <c r="J321" s="2">
        <v>4.36E-2</v>
      </c>
      <c r="K321" s="2">
        <v>0.13800000000000001</v>
      </c>
      <c r="L321" s="2">
        <v>8.3500000000000005E-2</v>
      </c>
      <c r="M321" s="2">
        <v>0.16600000000000001</v>
      </c>
      <c r="N321" s="2">
        <v>0.11700000000000001</v>
      </c>
      <c r="O321" s="2">
        <v>8.3799999999999999E-2</v>
      </c>
      <c r="P321" s="2">
        <v>0.16400000000000001</v>
      </c>
      <c r="Q321" s="2">
        <v>0.18</v>
      </c>
      <c r="R321" s="2">
        <v>0.14199999999999999</v>
      </c>
      <c r="S321" s="2">
        <v>6.13E-2</v>
      </c>
      <c r="T321" s="2">
        <v>5.4599999999999996E-3</v>
      </c>
      <c r="U321" s="2">
        <v>3.6999999999999998E-2</v>
      </c>
      <c r="V321" s="2">
        <v>9.0300000000000005E-2</v>
      </c>
      <c r="W321" s="2">
        <v>2.63E-2</v>
      </c>
      <c r="X321" s="2">
        <v>5.11E-2</v>
      </c>
      <c r="Y321" s="2">
        <v>5.6899999999999999E-2</v>
      </c>
      <c r="Z321" s="2">
        <v>4.0500000000000001E-2</v>
      </c>
      <c r="AA321" s="2">
        <v>7.4300000000000005E-2</v>
      </c>
      <c r="AB321" s="2">
        <v>0.217</v>
      </c>
      <c r="AC321" s="2">
        <v>0.10199999999999999</v>
      </c>
      <c r="AD321" s="2">
        <v>0.19900000000000001</v>
      </c>
      <c r="AE321" s="2">
        <v>0.19600000000000001</v>
      </c>
    </row>
    <row r="322" spans="1:31">
      <c r="A322" s="8" t="s">
        <v>213</v>
      </c>
      <c r="B322" s="3"/>
      <c r="C322" s="4">
        <v>1.5299999999999999E-2</v>
      </c>
      <c r="D322" s="3"/>
      <c r="E322" s="3"/>
      <c r="F322" s="3"/>
      <c r="G322" s="3"/>
      <c r="H322" s="3"/>
      <c r="I322" s="4">
        <v>1.7899999999999999E-2</v>
      </c>
      <c r="J322" s="4">
        <v>3.2800000000000003E-2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>
      <c r="A323" s="8" t="s">
        <v>214</v>
      </c>
      <c r="B323" s="2">
        <v>0.18099999999999999</v>
      </c>
      <c r="C323" s="2">
        <v>0.311</v>
      </c>
      <c r="D323" s="2">
        <v>0.41299999999999998</v>
      </c>
      <c r="E323" s="2">
        <v>0.63900000000000001</v>
      </c>
      <c r="F323" s="2">
        <v>0.65500000000000003</v>
      </c>
      <c r="G323" s="2">
        <v>0.35699999999999998</v>
      </c>
      <c r="H323" s="2">
        <v>0.29699999999999999</v>
      </c>
      <c r="I323" s="2">
        <v>0.30099999999999999</v>
      </c>
      <c r="J323" s="2">
        <v>0.191</v>
      </c>
      <c r="K323" s="2">
        <v>0.37</v>
      </c>
      <c r="L323" s="2">
        <v>0.184</v>
      </c>
      <c r="M323" s="2">
        <v>9.9500000000000005E-2</v>
      </c>
      <c r="N323" s="2">
        <v>0.215</v>
      </c>
      <c r="O323" s="2">
        <v>0.109</v>
      </c>
      <c r="P323" s="2">
        <v>0.22800000000000001</v>
      </c>
      <c r="Q323" s="2">
        <v>0.215</v>
      </c>
      <c r="R323" s="2">
        <v>0.19800000000000001</v>
      </c>
      <c r="S323" s="2">
        <v>0.192</v>
      </c>
      <c r="T323" s="2">
        <v>4.0300000000000002E-2</v>
      </c>
      <c r="U323" s="2">
        <v>0.184</v>
      </c>
      <c r="V323" s="2">
        <v>0.25700000000000001</v>
      </c>
      <c r="W323" s="2">
        <v>0.16</v>
      </c>
      <c r="X323" s="2">
        <v>0.254</v>
      </c>
      <c r="Y323" s="2">
        <v>0.25700000000000001</v>
      </c>
      <c r="Z323" s="2">
        <v>0.27300000000000002</v>
      </c>
      <c r="AA323" s="2">
        <v>0.17599999999999999</v>
      </c>
      <c r="AB323" s="2">
        <v>0.30599999999999999</v>
      </c>
      <c r="AC323" s="2">
        <v>0.27700000000000002</v>
      </c>
      <c r="AD323" s="2">
        <v>0.33600000000000002</v>
      </c>
      <c r="AE323" s="2">
        <v>0.379</v>
      </c>
    </row>
    <row r="324" spans="1:31">
      <c r="A324" s="8" t="s">
        <v>629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4">
        <v>2.8600000000000001E-3</v>
      </c>
      <c r="X324" s="3"/>
      <c r="Y324" s="3"/>
      <c r="Z324" s="3"/>
      <c r="AA324" s="3"/>
      <c r="AB324" s="3"/>
      <c r="AC324" s="3"/>
      <c r="AD324" s="3"/>
      <c r="AE324" s="3"/>
    </row>
    <row r="325" spans="1:31">
      <c r="A325" s="8" t="s">
        <v>215</v>
      </c>
      <c r="B325" s="5"/>
      <c r="C325" s="2">
        <v>1.3100000000000001E-2</v>
      </c>
      <c r="D325" s="5"/>
      <c r="E325" s="5"/>
      <c r="F325" s="5"/>
      <c r="G325" s="5"/>
      <c r="H325" s="2">
        <v>5.1000000000000004E-3</v>
      </c>
      <c r="I325" s="2">
        <v>6.6800000000000002E-3</v>
      </c>
      <c r="J325" s="5"/>
      <c r="K325" s="5"/>
      <c r="L325" s="2">
        <v>5.5799999999999999E-3</v>
      </c>
      <c r="M325" s="5"/>
      <c r="N325" s="5"/>
      <c r="O325" s="5"/>
      <c r="P325" s="5"/>
      <c r="Q325" s="5"/>
      <c r="R325" s="5"/>
      <c r="S325" s="5"/>
      <c r="T325" s="2">
        <v>1.6799999999999999E-2</v>
      </c>
      <c r="U325" s="2">
        <v>1.0500000000000001E-2</v>
      </c>
      <c r="V325" s="2">
        <v>1.23E-2</v>
      </c>
      <c r="W325" s="5"/>
      <c r="X325" s="5"/>
      <c r="Y325" s="5"/>
      <c r="Z325" s="5"/>
      <c r="AA325" s="5"/>
      <c r="AB325" s="5"/>
      <c r="AC325" s="2">
        <v>5.0699999999999999E-3</v>
      </c>
      <c r="AD325" s="5"/>
      <c r="AE325" s="5"/>
    </row>
    <row r="326" spans="1:31">
      <c r="A326" s="8" t="s">
        <v>630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4">
        <v>2.81E-3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>
      <c r="A327" s="8" t="s">
        <v>631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>
      <c r="A328" s="8" t="s">
        <v>216</v>
      </c>
      <c r="B328" s="3"/>
      <c r="C328" s="4">
        <v>2.5700000000000001E-2</v>
      </c>
      <c r="D328" s="4">
        <v>1.4800000000000001E-2</v>
      </c>
      <c r="E328" s="3"/>
      <c r="F328" s="3"/>
      <c r="G328" s="3"/>
      <c r="H328" s="4">
        <v>9.2999999999999992E-3</v>
      </c>
      <c r="I328" s="4">
        <v>1.17E-2</v>
      </c>
      <c r="J328" s="3"/>
      <c r="K328" s="3"/>
      <c r="L328" s="4">
        <v>1.03E-2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4">
        <v>7.4999999999999997E-3</v>
      </c>
      <c r="AD328" s="3"/>
      <c r="AE328" s="3"/>
    </row>
    <row r="329" spans="1:31">
      <c r="A329" s="8" t="s">
        <v>632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>
      <c r="A330" s="8" t="s">
        <v>217</v>
      </c>
      <c r="B330" s="3"/>
      <c r="C330" s="4">
        <v>3.1E-2</v>
      </c>
      <c r="D330" s="4">
        <v>3.1899999999999998E-2</v>
      </c>
      <c r="E330" s="4">
        <v>7.0099999999999996E-2</v>
      </c>
      <c r="F330" s="4">
        <v>0.16700000000000001</v>
      </c>
      <c r="G330" s="4">
        <v>2.2200000000000001E-2</v>
      </c>
      <c r="H330" s="4">
        <v>4.3700000000000003E-2</v>
      </c>
      <c r="I330" s="4">
        <v>2.5700000000000001E-2</v>
      </c>
      <c r="J330" s="4">
        <v>4.5400000000000003E-2</v>
      </c>
      <c r="K330" s="4">
        <v>4.65E-2</v>
      </c>
      <c r="L330" s="4">
        <v>8.4199999999999997E-2</v>
      </c>
      <c r="M330" s="3"/>
      <c r="N330" s="3"/>
      <c r="O330" s="3"/>
      <c r="P330" s="3"/>
      <c r="Q330" s="4">
        <v>7.8899999999999998E-2</v>
      </c>
      <c r="R330" s="4">
        <v>0.152</v>
      </c>
      <c r="S330" s="3"/>
      <c r="T330" s="3"/>
      <c r="U330" s="4">
        <v>1.61E-2</v>
      </c>
      <c r="V330" s="4">
        <v>3.4700000000000002E-2</v>
      </c>
      <c r="W330" s="4">
        <v>9.5399999999999999E-2</v>
      </c>
      <c r="X330" s="4">
        <v>4.48E-2</v>
      </c>
      <c r="Y330" s="4">
        <v>7.8299999999999995E-2</v>
      </c>
      <c r="Z330" s="4">
        <v>3.3599999999999998E-2</v>
      </c>
      <c r="AA330" s="3"/>
      <c r="AB330" s="3"/>
      <c r="AC330" s="4">
        <v>0.09</v>
      </c>
      <c r="AD330" s="4">
        <v>0.13200000000000001</v>
      </c>
      <c r="AE330" s="4">
        <v>4.1200000000000001E-2</v>
      </c>
    </row>
    <row r="331" spans="1:31">
      <c r="A331" s="8" t="s">
        <v>633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>
      <c r="A332" s="8" t="s">
        <v>634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>
      <c r="A333" s="8" t="s">
        <v>218</v>
      </c>
      <c r="B333" s="2">
        <v>5.4400000000000004E-3</v>
      </c>
      <c r="C333" s="2">
        <v>3.5000000000000001E-3</v>
      </c>
      <c r="D333" s="5"/>
      <c r="E333" s="5"/>
      <c r="F333" s="5"/>
      <c r="G333" s="5"/>
      <c r="H333" s="2">
        <v>2.2300000000000002E-3</v>
      </c>
      <c r="I333" s="2">
        <v>2.32E-3</v>
      </c>
      <c r="J333" s="2">
        <v>1.8400000000000001E-3</v>
      </c>
      <c r="K333" s="5"/>
      <c r="L333" s="2">
        <v>3.1199999999999999E-3</v>
      </c>
      <c r="M333" s="2">
        <v>6.4799999999999996E-3</v>
      </c>
      <c r="N333" s="2">
        <v>1.2700000000000001E-3</v>
      </c>
      <c r="O333" s="2">
        <v>7.3200000000000001E-4</v>
      </c>
      <c r="P333" s="2">
        <v>2.7299999999999998E-3</v>
      </c>
      <c r="Q333" s="5"/>
      <c r="R333" s="2">
        <v>4.1399999999999996E-3</v>
      </c>
      <c r="S333" s="2">
        <v>2.0999999999999999E-3</v>
      </c>
      <c r="T333" s="5"/>
      <c r="U333" s="2">
        <v>1.6900000000000001E-3</v>
      </c>
      <c r="V333" s="2">
        <v>2.8800000000000002E-3</v>
      </c>
      <c r="W333" s="2">
        <v>6.4700000000000001E-3</v>
      </c>
      <c r="X333" s="2">
        <v>4.0400000000000002E-3</v>
      </c>
      <c r="Y333" s="2">
        <v>5.7400000000000003E-3</v>
      </c>
      <c r="Z333" s="2">
        <v>5.8700000000000002E-3</v>
      </c>
      <c r="AA333" s="5"/>
      <c r="AB333" s="2">
        <v>2.7799999999999999E-3</v>
      </c>
      <c r="AC333" s="2">
        <v>1.5499999999999999E-3</v>
      </c>
      <c r="AD333" s="5"/>
      <c r="AE333" s="2">
        <v>2.6199999999999999E-3</v>
      </c>
    </row>
    <row r="334" spans="1:31">
      <c r="A334" s="8" t="s">
        <v>635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>
      <c r="A335" s="8" t="s">
        <v>636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>
      <c r="A336" s="8" t="s">
        <v>219</v>
      </c>
      <c r="B336" s="3"/>
      <c r="C336" s="3"/>
      <c r="D336" s="4">
        <v>3.3400000000000001E-3</v>
      </c>
      <c r="E336" s="3"/>
      <c r="F336" s="3"/>
      <c r="G336" s="3"/>
      <c r="H336" s="4">
        <v>4.3400000000000001E-3</v>
      </c>
      <c r="I336" s="4">
        <v>2.65E-3</v>
      </c>
      <c r="J336" s="4">
        <v>2.0799999999999998E-3</v>
      </c>
      <c r="K336" s="3"/>
      <c r="L336" s="4">
        <v>3.7599999999999999E-3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4">
        <v>3.4199999999999999E-3</v>
      </c>
      <c r="X336" s="3"/>
      <c r="Y336" s="3"/>
      <c r="Z336" s="3"/>
      <c r="AA336" s="3"/>
      <c r="AB336" s="3"/>
      <c r="AC336" s="4">
        <v>2.3E-3</v>
      </c>
      <c r="AD336" s="3"/>
      <c r="AE336" s="3"/>
    </row>
    <row r="337" spans="1:31">
      <c r="A337" s="8" t="s">
        <v>220</v>
      </c>
      <c r="B337" s="5"/>
      <c r="C337" s="2">
        <v>5.4599999999999996E-3</v>
      </c>
      <c r="D337" s="2">
        <v>3.3600000000000001E-3</v>
      </c>
      <c r="E337" s="5"/>
      <c r="F337" s="5"/>
      <c r="G337" s="5"/>
      <c r="H337" s="2">
        <v>2.7100000000000002E-3</v>
      </c>
      <c r="I337" s="2">
        <v>2.3900000000000002E-3</v>
      </c>
      <c r="J337" s="2">
        <v>1.66E-3</v>
      </c>
      <c r="K337" s="5"/>
      <c r="L337" s="2">
        <v>4.0200000000000001E-3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2">
        <v>2.7899999999999999E-3</v>
      </c>
      <c r="X337" s="5"/>
      <c r="Y337" s="5"/>
      <c r="Z337" s="2">
        <v>9.8999999999999999E-4</v>
      </c>
      <c r="AA337" s="2">
        <v>9.0799999999999995E-4</v>
      </c>
      <c r="AB337" s="5"/>
      <c r="AC337" s="2">
        <v>2.48E-3</v>
      </c>
      <c r="AD337" s="5"/>
      <c r="AE337" s="5"/>
    </row>
    <row r="338" spans="1:31">
      <c r="A338" s="8" t="s">
        <v>221</v>
      </c>
      <c r="B338" s="4">
        <v>5.1999999999999995E-4</v>
      </c>
      <c r="C338" s="4">
        <v>3.0899999999999999E-3</v>
      </c>
      <c r="D338" s="3"/>
      <c r="E338" s="3"/>
      <c r="F338" s="4">
        <v>1.1800000000000001E-3</v>
      </c>
      <c r="G338" s="4">
        <v>2.6199999999999999E-3</v>
      </c>
      <c r="H338" s="4">
        <v>8.2600000000000002E-4</v>
      </c>
      <c r="I338" s="4">
        <v>9.2900000000000003E-4</v>
      </c>
      <c r="J338" s="3"/>
      <c r="K338" s="3"/>
      <c r="L338" s="3"/>
      <c r="M338" s="3"/>
      <c r="N338" s="3"/>
      <c r="O338" s="3"/>
      <c r="P338" s="3"/>
      <c r="Q338" s="3"/>
      <c r="R338" s="4">
        <v>1.52E-2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>
      <c r="A339" s="8" t="s">
        <v>222</v>
      </c>
      <c r="B339" s="2">
        <v>0.31900000000000001</v>
      </c>
      <c r="C339" s="2">
        <v>0.21099999999999999</v>
      </c>
      <c r="D339" s="2">
        <v>4.99E-2</v>
      </c>
      <c r="E339" s="2">
        <v>0.248</v>
      </c>
      <c r="F339" s="2">
        <v>0.224</v>
      </c>
      <c r="G339" s="2">
        <v>9.1899999999999996E-2</v>
      </c>
      <c r="H339" s="2">
        <v>0.45500000000000002</v>
      </c>
      <c r="I339" s="2">
        <v>0.439</v>
      </c>
      <c r="J339" s="2">
        <v>0.55700000000000005</v>
      </c>
      <c r="K339" s="2">
        <v>0.59799999999999998</v>
      </c>
      <c r="L339" s="2">
        <v>0.40100000000000002</v>
      </c>
      <c r="M339" s="2">
        <v>1.35</v>
      </c>
      <c r="N339" s="2">
        <v>0.79400000000000004</v>
      </c>
      <c r="O339" s="2">
        <v>0.33600000000000002</v>
      </c>
      <c r="P339" s="2">
        <v>0.23499999999999999</v>
      </c>
      <c r="Q339" s="2">
        <v>1.59</v>
      </c>
      <c r="R339" s="2">
        <v>0.371</v>
      </c>
      <c r="S339" s="2">
        <v>0.755</v>
      </c>
      <c r="T339" s="2">
        <v>0.71499999999999997</v>
      </c>
      <c r="U339" s="2">
        <v>0.60399999999999998</v>
      </c>
      <c r="V339" s="2">
        <v>0.79400000000000004</v>
      </c>
      <c r="W339" s="2">
        <v>0.48899999999999999</v>
      </c>
      <c r="X339" s="2">
        <v>0.42799999999999999</v>
      </c>
      <c r="Y339" s="2">
        <v>0.47199999999999998</v>
      </c>
      <c r="Z339" s="2">
        <v>0.73099999999999998</v>
      </c>
      <c r="AA339" s="2">
        <v>0.56899999999999995</v>
      </c>
      <c r="AB339" s="2">
        <v>0.44900000000000001</v>
      </c>
      <c r="AC339" s="2">
        <v>0.49399999999999999</v>
      </c>
      <c r="AD339" s="2">
        <v>1.32</v>
      </c>
      <c r="AE339" s="2">
        <v>0.371</v>
      </c>
    </row>
    <row r="340" spans="1:31">
      <c r="A340" s="8" t="s">
        <v>223</v>
      </c>
      <c r="B340" s="3"/>
      <c r="C340" s="4">
        <v>2.64E-3</v>
      </c>
      <c r="D340" s="4">
        <v>1.7600000000000001E-3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4">
        <v>1.8699999999999999E-3</v>
      </c>
      <c r="X340" s="3"/>
      <c r="Y340" s="3"/>
      <c r="Z340" s="3"/>
      <c r="AA340" s="3"/>
      <c r="AB340" s="3"/>
      <c r="AC340" s="4">
        <v>1.2600000000000001E-3</v>
      </c>
      <c r="AD340" s="3"/>
      <c r="AE340" s="3"/>
    </row>
    <row r="341" spans="1:31">
      <c r="A341" s="8" t="s">
        <v>224</v>
      </c>
      <c r="B341" s="2">
        <v>0.316</v>
      </c>
      <c r="C341" s="2">
        <v>0.217</v>
      </c>
      <c r="D341" s="2">
        <v>0.13500000000000001</v>
      </c>
      <c r="E341" s="2">
        <v>9.11E-2</v>
      </c>
      <c r="F341" s="2">
        <v>0.191</v>
      </c>
      <c r="G341" s="2">
        <v>0.35099999999999998</v>
      </c>
      <c r="H341" s="2">
        <v>0.27200000000000002</v>
      </c>
      <c r="I341" s="2">
        <v>0.30199999999999999</v>
      </c>
      <c r="J341" s="2">
        <v>0.30399999999999999</v>
      </c>
      <c r="K341" s="2">
        <v>0.14499999999999999</v>
      </c>
      <c r="L341" s="2">
        <v>0.26800000000000002</v>
      </c>
      <c r="M341" s="2">
        <v>0.42499999999999999</v>
      </c>
      <c r="N341" s="2">
        <v>0.29099999999999998</v>
      </c>
      <c r="O341" s="2">
        <v>0.246</v>
      </c>
      <c r="P341" s="2">
        <v>0.29499999999999998</v>
      </c>
      <c r="Q341" s="2">
        <v>0.20300000000000001</v>
      </c>
      <c r="R341" s="2">
        <v>0.377</v>
      </c>
      <c r="S341" s="2">
        <v>0.42399999999999999</v>
      </c>
      <c r="T341" s="2">
        <v>1.5</v>
      </c>
      <c r="U341" s="2">
        <v>0.28399999999999997</v>
      </c>
      <c r="V341" s="2">
        <v>0.40500000000000003</v>
      </c>
      <c r="W341" s="2">
        <v>0.39200000000000002</v>
      </c>
      <c r="X341" s="2">
        <v>0.28199999999999997</v>
      </c>
      <c r="Y341" s="2">
        <v>0.32500000000000001</v>
      </c>
      <c r="Z341" s="2">
        <v>0.27200000000000002</v>
      </c>
      <c r="AA341" s="2">
        <v>0.32300000000000001</v>
      </c>
      <c r="AB341" s="2">
        <v>0.38800000000000001</v>
      </c>
      <c r="AC341" s="2">
        <v>0.36099999999999999</v>
      </c>
      <c r="AD341" s="2">
        <v>0.19900000000000001</v>
      </c>
      <c r="AE341" s="2">
        <v>0.40200000000000002</v>
      </c>
    </row>
    <row r="342" spans="1:31">
      <c r="A342" s="8" t="s">
        <v>225</v>
      </c>
      <c r="B342" s="3"/>
      <c r="C342" s="4">
        <v>8.3199999999999993E-3</v>
      </c>
      <c r="D342" s="4">
        <v>5.8300000000000001E-3</v>
      </c>
      <c r="E342" s="3"/>
      <c r="F342" s="3"/>
      <c r="G342" s="3"/>
      <c r="H342" s="4">
        <v>4.6600000000000001E-3</v>
      </c>
      <c r="I342" s="4">
        <v>4.4600000000000004E-3</v>
      </c>
      <c r="J342" s="3"/>
      <c r="K342" s="3"/>
      <c r="L342" s="4">
        <v>6.5399999999999998E-3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4">
        <v>3.5500000000000002E-3</v>
      </c>
      <c r="X342" s="3"/>
      <c r="Y342" s="3"/>
      <c r="Z342" s="3"/>
      <c r="AA342" s="3"/>
      <c r="AB342" s="3"/>
      <c r="AC342" s="4">
        <v>4.3400000000000001E-3</v>
      </c>
      <c r="AD342" s="3"/>
      <c r="AE342" s="3"/>
    </row>
    <row r="343" spans="1:31">
      <c r="A343" s="8" t="s">
        <v>637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>
      <c r="A344" s="8" t="s">
        <v>638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>
      <c r="A345" s="8" t="s">
        <v>226</v>
      </c>
      <c r="B345" s="2">
        <v>4.7300000000000004</v>
      </c>
      <c r="C345" s="2">
        <v>1.87</v>
      </c>
      <c r="D345" s="2">
        <v>0.68200000000000005</v>
      </c>
      <c r="E345" s="2">
        <v>2.34</v>
      </c>
      <c r="F345" s="2">
        <v>3.27</v>
      </c>
      <c r="G345" s="2">
        <v>1.84</v>
      </c>
      <c r="H345" s="2">
        <v>4.88</v>
      </c>
      <c r="I345" s="2">
        <v>4.17</v>
      </c>
      <c r="J345" s="2">
        <v>6.11</v>
      </c>
      <c r="K345" s="2">
        <v>6.78</v>
      </c>
      <c r="L345" s="2">
        <v>3.95</v>
      </c>
      <c r="M345" s="2">
        <v>13.1</v>
      </c>
      <c r="N345" s="2">
        <v>4.05</v>
      </c>
      <c r="O345" s="2">
        <v>3.44</v>
      </c>
      <c r="P345" s="2">
        <v>4.12</v>
      </c>
      <c r="Q345" s="2">
        <v>7.05</v>
      </c>
      <c r="R345" s="2">
        <v>4.6399999999999997</v>
      </c>
      <c r="S345" s="2">
        <v>8.8000000000000007</v>
      </c>
      <c r="T345" s="2">
        <v>6.37</v>
      </c>
      <c r="U345" s="2">
        <v>4.18</v>
      </c>
      <c r="V345" s="2">
        <v>5.79</v>
      </c>
      <c r="W345" s="2">
        <v>7.82</v>
      </c>
      <c r="X345" s="2">
        <v>4.25</v>
      </c>
      <c r="Y345" s="2">
        <v>4.68</v>
      </c>
      <c r="Z345" s="2">
        <v>4.95</v>
      </c>
      <c r="AA345" s="5"/>
      <c r="AB345" s="2">
        <v>4.55</v>
      </c>
      <c r="AC345" s="2">
        <v>4.43</v>
      </c>
      <c r="AD345" s="2">
        <v>8.42</v>
      </c>
      <c r="AE345" s="2">
        <v>3.63</v>
      </c>
    </row>
    <row r="346" spans="1:31">
      <c r="A346" s="8" t="s">
        <v>639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>
      <c r="A347" s="8" t="s">
        <v>227</v>
      </c>
      <c r="B347" s="5"/>
      <c r="C347" s="5"/>
      <c r="D347" s="5"/>
      <c r="E347" s="5"/>
      <c r="F347" s="2">
        <v>3.3000000000000002E-2</v>
      </c>
      <c r="G347" s="2">
        <v>1.3299999999999999E-2</v>
      </c>
      <c r="H347" s="5"/>
      <c r="I347" s="5"/>
      <c r="J347" s="5"/>
      <c r="K347" s="5"/>
      <c r="L347" s="5"/>
      <c r="M347" s="2">
        <v>9.2600000000000002E-2</v>
      </c>
      <c r="N347" s="2">
        <v>1.66E-2</v>
      </c>
      <c r="O347" s="2">
        <v>2.6499999999999999E-2</v>
      </c>
      <c r="P347" s="5"/>
      <c r="Q347" s="2">
        <v>3.6799999999999999E-2</v>
      </c>
      <c r="R347" s="2">
        <v>1.12E-2</v>
      </c>
      <c r="S347" s="2">
        <v>1.23E-2</v>
      </c>
      <c r="T347" s="5"/>
      <c r="U347" s="5"/>
      <c r="V347" s="2">
        <v>1.35E-2</v>
      </c>
      <c r="W347" s="2">
        <v>1.8800000000000001E-2</v>
      </c>
      <c r="X347" s="2">
        <v>1.6299999999999999E-2</v>
      </c>
      <c r="Y347" s="2">
        <v>9.7699999999999992E-3</v>
      </c>
      <c r="Z347" s="2">
        <v>1.9199999999999998E-2</v>
      </c>
      <c r="AA347" s="5"/>
      <c r="AB347" s="2">
        <v>2.3300000000000001E-2</v>
      </c>
      <c r="AC347" s="5"/>
      <c r="AD347" s="5"/>
      <c r="AE347" s="2">
        <v>2.1600000000000001E-2</v>
      </c>
    </row>
    <row r="348" spans="1:31">
      <c r="A348" s="8" t="s">
        <v>640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>
      <c r="A349" s="8" t="s">
        <v>641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>
      <c r="A350" s="8" t="s">
        <v>228</v>
      </c>
      <c r="B350" s="4">
        <v>2.47E-2</v>
      </c>
      <c r="C350" s="4">
        <v>2.06E-2</v>
      </c>
      <c r="D350" s="4">
        <v>1.8100000000000002E-2</v>
      </c>
      <c r="E350" s="4">
        <v>2.3199999999999998E-2</v>
      </c>
      <c r="F350" s="4">
        <v>3.09E-2</v>
      </c>
      <c r="G350" s="4">
        <v>3.6799999999999999E-2</v>
      </c>
      <c r="H350" s="4">
        <v>2.41E-2</v>
      </c>
      <c r="I350" s="3"/>
      <c r="J350" s="4">
        <v>4.4499999999999998E-2</v>
      </c>
      <c r="K350" s="4">
        <v>2.1899999999999999E-2</v>
      </c>
      <c r="L350" s="4">
        <v>2.3900000000000001E-2</v>
      </c>
      <c r="M350" s="4">
        <v>2.8799999999999999E-2</v>
      </c>
      <c r="N350" s="4">
        <v>2.5999999999999999E-2</v>
      </c>
      <c r="O350" s="4">
        <v>2.5899999999999999E-2</v>
      </c>
      <c r="P350" s="4">
        <v>2.35E-2</v>
      </c>
      <c r="Q350" s="4">
        <v>3.44E-2</v>
      </c>
      <c r="R350" s="4">
        <v>3.1699999999999999E-2</v>
      </c>
      <c r="S350" s="4">
        <v>4.2799999999999998E-2</v>
      </c>
      <c r="T350" s="4">
        <v>5.1200000000000002E-2</v>
      </c>
      <c r="U350" s="4">
        <v>3.8600000000000002E-2</v>
      </c>
      <c r="V350" s="4">
        <v>4.41E-2</v>
      </c>
      <c r="W350" s="4">
        <v>2.5999999999999999E-2</v>
      </c>
      <c r="X350" s="4">
        <v>3.2800000000000003E-2</v>
      </c>
      <c r="Y350" s="4">
        <v>3.1399999999999997E-2</v>
      </c>
      <c r="Z350" s="4">
        <v>3.6700000000000003E-2</v>
      </c>
      <c r="AA350" s="4">
        <v>3.4299999999999997E-2</v>
      </c>
      <c r="AB350" s="4">
        <v>2.58E-2</v>
      </c>
      <c r="AC350" s="4">
        <v>3.0300000000000001E-2</v>
      </c>
      <c r="AD350" s="4">
        <v>2.6200000000000001E-2</v>
      </c>
      <c r="AE350" s="4">
        <v>4.2299999999999997E-2</v>
      </c>
    </row>
    <row r="351" spans="1:31">
      <c r="A351" s="8" t="s">
        <v>642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>
      <c r="A352" s="8" t="s">
        <v>643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>
      <c r="A353" s="8" t="s">
        <v>644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>
      <c r="A354" s="8" t="s">
        <v>229</v>
      </c>
      <c r="B354" s="3"/>
      <c r="C354" s="4">
        <v>1.61E-2</v>
      </c>
      <c r="D354" s="4">
        <v>1.14E-2</v>
      </c>
      <c r="E354" s="4">
        <v>2.47E-2</v>
      </c>
      <c r="F354" s="4">
        <v>4.5400000000000003E-2</v>
      </c>
      <c r="G354" s="4">
        <v>4.28E-3</v>
      </c>
      <c r="H354" s="4">
        <v>1.21E-2</v>
      </c>
      <c r="I354" s="4">
        <v>1.5299999999999999E-2</v>
      </c>
      <c r="J354" s="4">
        <v>1.9400000000000001E-2</v>
      </c>
      <c r="K354" s="4">
        <v>2.0500000000000001E-2</v>
      </c>
      <c r="L354" s="4">
        <v>2.29E-2</v>
      </c>
      <c r="M354" s="4">
        <v>9.2599999999999991E-3</v>
      </c>
      <c r="N354" s="4">
        <v>1.26E-2</v>
      </c>
      <c r="O354" s="4">
        <v>0.112</v>
      </c>
      <c r="P354" s="4">
        <v>1.6799999999999999E-2</v>
      </c>
      <c r="Q354" s="4">
        <v>0.30299999999999999</v>
      </c>
      <c r="R354" s="4">
        <v>7.6E-3</v>
      </c>
      <c r="S354" s="4">
        <v>1.66E-2</v>
      </c>
      <c r="T354" s="4">
        <v>1.9E-2</v>
      </c>
      <c r="U354" s="4">
        <v>1.35E-2</v>
      </c>
      <c r="V354" s="4">
        <v>9.0300000000000005E-2</v>
      </c>
      <c r="W354" s="4">
        <v>1.2E-2</v>
      </c>
      <c r="X354" s="4">
        <v>1.1299999999999999E-2</v>
      </c>
      <c r="Y354" s="4">
        <v>1.6E-2</v>
      </c>
      <c r="Z354" s="4">
        <v>1.01E-2</v>
      </c>
      <c r="AA354" s="3"/>
      <c r="AB354" s="4">
        <v>8.5100000000000002E-3</v>
      </c>
      <c r="AC354" s="4">
        <v>1.43E-2</v>
      </c>
      <c r="AD354" s="4">
        <v>0.17799999999999999</v>
      </c>
      <c r="AE354" s="4">
        <v>3.4199999999999999E-3</v>
      </c>
    </row>
    <row r="355" spans="1:31">
      <c r="A355" s="8" t="s">
        <v>645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>
      <c r="A356" s="8" t="s">
        <v>230</v>
      </c>
      <c r="B356" s="4">
        <v>4.87E-2</v>
      </c>
      <c r="C356" s="4">
        <v>6.8199999999999997E-2</v>
      </c>
      <c r="D356" s="4">
        <v>9.1800000000000007E-2</v>
      </c>
      <c r="E356" s="4">
        <v>9.1399999999999995E-2</v>
      </c>
      <c r="F356" s="4">
        <v>9.69E-2</v>
      </c>
      <c r="G356" s="4">
        <v>8.4599999999999995E-2</v>
      </c>
      <c r="H356" s="4">
        <v>5.6500000000000002E-2</v>
      </c>
      <c r="I356" s="4">
        <v>5.3499999999999999E-2</v>
      </c>
      <c r="J356" s="4">
        <v>4.9000000000000002E-2</v>
      </c>
      <c r="K356" s="4">
        <v>8.6999999999999994E-2</v>
      </c>
      <c r="L356" s="4">
        <v>5.7000000000000002E-2</v>
      </c>
      <c r="M356" s="4">
        <v>2.7199999999999998E-2</v>
      </c>
      <c r="N356" s="4">
        <v>3.7699999999999997E-2</v>
      </c>
      <c r="O356" s="4">
        <v>2.1700000000000001E-2</v>
      </c>
      <c r="P356" s="4">
        <v>6.5600000000000006E-2</v>
      </c>
      <c r="Q356" s="4">
        <v>6.08E-2</v>
      </c>
      <c r="R356" s="4">
        <v>5.3199999999999997E-2</v>
      </c>
      <c r="S356" s="4">
        <v>3.7699999999999997E-2</v>
      </c>
      <c r="T356" s="4">
        <v>1.06E-2</v>
      </c>
      <c r="U356" s="4">
        <v>3.4599999999999999E-2</v>
      </c>
      <c r="V356" s="4">
        <v>3.8300000000000001E-2</v>
      </c>
      <c r="W356" s="4">
        <v>3.9100000000000003E-2</v>
      </c>
      <c r="X356" s="4">
        <v>5.3900000000000003E-2</v>
      </c>
      <c r="Y356" s="4">
        <v>5.0999999999999997E-2</v>
      </c>
      <c r="Z356" s="4">
        <v>4.7199999999999999E-2</v>
      </c>
      <c r="AA356" s="4">
        <v>0.03</v>
      </c>
      <c r="AB356" s="4">
        <v>5.5399999999999998E-2</v>
      </c>
      <c r="AC356" s="4">
        <v>6.5100000000000005E-2</v>
      </c>
      <c r="AD356" s="4">
        <v>7.5399999999999995E-2</v>
      </c>
      <c r="AE356" s="4">
        <v>6.7100000000000007E-2</v>
      </c>
    </row>
    <row r="357" spans="1:31">
      <c r="A357" s="8" t="s">
        <v>231</v>
      </c>
      <c r="B357" s="5"/>
      <c r="C357" s="2">
        <v>3.5300000000000002E-3</v>
      </c>
      <c r="D357" s="5"/>
      <c r="E357" s="5"/>
      <c r="F357" s="5"/>
      <c r="G357" s="5"/>
      <c r="H357" s="5"/>
      <c r="I357" s="2">
        <v>3.9399999999999999E-3</v>
      </c>
      <c r="J357" s="5"/>
      <c r="K357" s="5"/>
      <c r="L357" s="2">
        <v>2.3800000000000002E-3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>
      <c r="A358" s="8" t="s">
        <v>232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4">
        <v>2.2100000000000002E-3</v>
      </c>
      <c r="AB358" s="3"/>
      <c r="AC358" s="3"/>
      <c r="AD358" s="3"/>
      <c r="AE358" s="3"/>
    </row>
    <row r="359" spans="1:31">
      <c r="A359" s="8" t="s">
        <v>646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>
      <c r="A360" s="8" t="s">
        <v>647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>
      <c r="A361" s="8" t="s">
        <v>233</v>
      </c>
      <c r="B361" s="5"/>
      <c r="C361" s="2">
        <v>4.45E-3</v>
      </c>
      <c r="D361" s="2">
        <v>2.7399999999999998E-3</v>
      </c>
      <c r="E361" s="5"/>
      <c r="F361" s="5"/>
      <c r="G361" s="5"/>
      <c r="H361" s="2">
        <v>1.7899999999999999E-3</v>
      </c>
      <c r="I361" s="2">
        <v>3.64E-3</v>
      </c>
      <c r="J361" s="5"/>
      <c r="K361" s="5"/>
      <c r="L361" s="2">
        <v>2.8400000000000001E-3</v>
      </c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2">
        <v>2.5100000000000001E-3</v>
      </c>
      <c r="X361" s="5"/>
      <c r="Y361" s="5"/>
      <c r="Z361" s="5"/>
      <c r="AA361" s="5"/>
      <c r="AB361" s="5"/>
      <c r="AC361" s="2">
        <v>2.15E-3</v>
      </c>
      <c r="AD361" s="5"/>
      <c r="AE361" s="5"/>
    </row>
    <row r="362" spans="1:31">
      <c r="A362" s="8" t="s">
        <v>234</v>
      </c>
      <c r="B362" s="3"/>
      <c r="C362" s="4">
        <v>3.4499999999999999E-3</v>
      </c>
      <c r="D362" s="4">
        <v>2.3900000000000002E-3</v>
      </c>
      <c r="E362" s="3"/>
      <c r="F362" s="3"/>
      <c r="G362" s="3"/>
      <c r="H362" s="4">
        <v>1.9499999999999999E-3</v>
      </c>
      <c r="I362" s="4">
        <v>1.8600000000000001E-3</v>
      </c>
      <c r="J362" s="3"/>
      <c r="K362" s="3"/>
      <c r="L362" s="4">
        <v>2.7299999999999998E-3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4">
        <v>2.3500000000000001E-3</v>
      </c>
      <c r="X362" s="3"/>
      <c r="Y362" s="3"/>
      <c r="Z362" s="3"/>
      <c r="AA362" s="4">
        <v>6.4199999999999999E-4</v>
      </c>
      <c r="AB362" s="3"/>
      <c r="AC362" s="4">
        <v>1.8500000000000001E-3</v>
      </c>
      <c r="AD362" s="3"/>
      <c r="AE362" s="3"/>
    </row>
    <row r="363" spans="1:31">
      <c r="A363" s="8" t="s">
        <v>235</v>
      </c>
      <c r="B363" s="2">
        <v>3.8600000000000002E-2</v>
      </c>
      <c r="C363" s="2">
        <v>3.7999999999999999E-2</v>
      </c>
      <c r="D363" s="2">
        <v>2.6700000000000002E-2</v>
      </c>
      <c r="E363" s="2">
        <v>6.3600000000000004E-2</v>
      </c>
      <c r="F363" s="2">
        <v>0.14899999999999999</v>
      </c>
      <c r="G363" s="2">
        <v>3.0499999999999999E-2</v>
      </c>
      <c r="H363" s="2">
        <v>3.8100000000000002E-2</v>
      </c>
      <c r="I363" s="2">
        <v>3.1899999999999998E-2</v>
      </c>
      <c r="J363" s="2">
        <v>3.7199999999999997E-2</v>
      </c>
      <c r="K363" s="2">
        <v>4.7300000000000002E-2</v>
      </c>
      <c r="L363" s="2">
        <v>5.6399999999999999E-2</v>
      </c>
      <c r="M363" s="2">
        <v>4.3700000000000003E-2</v>
      </c>
      <c r="N363" s="2">
        <v>4.2900000000000001E-2</v>
      </c>
      <c r="O363" s="2">
        <v>5.8599999999999999E-2</v>
      </c>
      <c r="P363" s="2">
        <v>6.9800000000000001E-2</v>
      </c>
      <c r="Q363" s="2">
        <v>0.13900000000000001</v>
      </c>
      <c r="R363" s="2">
        <v>7.0300000000000001E-2</v>
      </c>
      <c r="S363" s="2">
        <v>3.5299999999999998E-2</v>
      </c>
      <c r="T363" s="2">
        <v>4.6399999999999997E-2</v>
      </c>
      <c r="U363" s="2">
        <v>3.3700000000000001E-2</v>
      </c>
      <c r="V363" s="2">
        <v>6.8199999999999997E-2</v>
      </c>
      <c r="W363" s="2">
        <v>9.6100000000000005E-2</v>
      </c>
      <c r="X363" s="2">
        <v>7.1099999999999997E-2</v>
      </c>
      <c r="Y363" s="2">
        <v>0.105</v>
      </c>
      <c r="Z363" s="2">
        <v>6.13E-2</v>
      </c>
      <c r="AA363" s="2">
        <v>5.9299999999999999E-2</v>
      </c>
      <c r="AB363" s="2">
        <v>4.8800000000000003E-2</v>
      </c>
      <c r="AC363" s="2">
        <v>5.2400000000000002E-2</v>
      </c>
      <c r="AD363" s="2">
        <v>0.184</v>
      </c>
      <c r="AE363" s="2">
        <v>4.8000000000000001E-2</v>
      </c>
    </row>
    <row r="364" spans="1:31">
      <c r="A364" s="8" t="s">
        <v>648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>
      <c r="A365" s="8" t="s">
        <v>649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>
      <c r="A366" s="8" t="s">
        <v>650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>
      <c r="A367" s="8" t="s">
        <v>651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>
      <c r="A368" s="8" t="s">
        <v>652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4">
        <v>3.2499999999999999E-3</v>
      </c>
      <c r="X368" s="3"/>
      <c r="Y368" s="3"/>
      <c r="Z368" s="3"/>
      <c r="AA368" s="3"/>
      <c r="AB368" s="3"/>
      <c r="AC368" s="3"/>
      <c r="AD368" s="3"/>
      <c r="AE368" s="3"/>
    </row>
    <row r="369" spans="1:31">
      <c r="A369" s="8" t="s">
        <v>653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>
      <c r="A370" s="8" t="s">
        <v>236</v>
      </c>
      <c r="B370" s="4">
        <v>0.46300000000000002</v>
      </c>
      <c r="C370" s="4">
        <v>0.44500000000000001</v>
      </c>
      <c r="D370" s="4">
        <v>0.186</v>
      </c>
      <c r="E370" s="4">
        <v>0.39700000000000002</v>
      </c>
      <c r="F370" s="4">
        <v>0.433</v>
      </c>
      <c r="G370" s="4">
        <v>0.29899999999999999</v>
      </c>
      <c r="H370" s="4">
        <v>0.59099999999999997</v>
      </c>
      <c r="I370" s="4">
        <v>0.51900000000000002</v>
      </c>
      <c r="J370" s="4">
        <v>0.64300000000000002</v>
      </c>
      <c r="K370" s="4">
        <v>0.69699999999999995</v>
      </c>
      <c r="L370" s="4">
        <v>0.442</v>
      </c>
      <c r="M370" s="4">
        <v>0.71199999999999997</v>
      </c>
      <c r="N370" s="4">
        <v>0.39400000000000002</v>
      </c>
      <c r="O370" s="4">
        <v>0.245</v>
      </c>
      <c r="P370" s="4">
        <v>0.38500000000000001</v>
      </c>
      <c r="Q370" s="4">
        <v>0.72499999999999998</v>
      </c>
      <c r="R370" s="4">
        <v>0.65800000000000003</v>
      </c>
      <c r="S370" s="4">
        <v>0.61299999999999999</v>
      </c>
      <c r="T370" s="4">
        <v>1.56</v>
      </c>
      <c r="U370" s="4">
        <v>0.54400000000000004</v>
      </c>
      <c r="V370" s="4">
        <v>0.71099999999999997</v>
      </c>
      <c r="W370" s="4">
        <v>0.65200000000000002</v>
      </c>
      <c r="X370" s="4">
        <v>0.47499999999999998</v>
      </c>
      <c r="Y370" s="4">
        <v>0.55000000000000004</v>
      </c>
      <c r="Z370" s="4">
        <v>0.61</v>
      </c>
      <c r="AA370" s="3"/>
      <c r="AB370" s="4">
        <v>0.39600000000000002</v>
      </c>
      <c r="AC370" s="4">
        <v>0.51200000000000001</v>
      </c>
      <c r="AD370" s="4">
        <v>0.73499999999999999</v>
      </c>
      <c r="AE370" s="4">
        <v>0.57599999999999996</v>
      </c>
    </row>
    <row r="371" spans="1:31">
      <c r="A371" s="8" t="s">
        <v>237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2">
        <v>2.6900000000000001E-3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2">
        <v>1.41E-3</v>
      </c>
      <c r="AD371" s="5"/>
      <c r="AE371" s="5"/>
    </row>
    <row r="372" spans="1:31">
      <c r="A372" s="8" t="s">
        <v>654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>
      <c r="A373" s="8" t="s">
        <v>238</v>
      </c>
      <c r="B373" s="2">
        <v>0.01</v>
      </c>
      <c r="C373" s="2">
        <v>1.14E-2</v>
      </c>
      <c r="D373" s="2">
        <v>7.5700000000000003E-3</v>
      </c>
      <c r="E373" s="5"/>
      <c r="F373" s="5"/>
      <c r="G373" s="2">
        <v>6.8500000000000002E-3</v>
      </c>
      <c r="H373" s="2">
        <v>1.09E-2</v>
      </c>
      <c r="I373" s="2">
        <v>9.0100000000000006E-3</v>
      </c>
      <c r="J373" s="5"/>
      <c r="K373" s="2">
        <v>1.49E-2</v>
      </c>
      <c r="L373" s="2">
        <v>9.2599999999999991E-3</v>
      </c>
      <c r="M373" s="2">
        <v>1.67E-2</v>
      </c>
      <c r="N373" s="2">
        <v>1.2E-2</v>
      </c>
      <c r="O373" s="2">
        <v>1.21E-2</v>
      </c>
      <c r="P373" s="2">
        <v>1.04E-2</v>
      </c>
      <c r="Q373" s="5"/>
      <c r="R373" s="2">
        <v>9.6799999999999994E-3</v>
      </c>
      <c r="S373" s="2">
        <v>2.1600000000000001E-2</v>
      </c>
      <c r="T373" s="2">
        <v>1.2999999999999999E-2</v>
      </c>
      <c r="U373" s="2">
        <v>1.49E-2</v>
      </c>
      <c r="V373" s="2">
        <v>2.0299999999999999E-2</v>
      </c>
      <c r="W373" s="2">
        <v>1.52E-2</v>
      </c>
      <c r="X373" s="2">
        <v>1.18E-2</v>
      </c>
      <c r="Y373" s="2">
        <v>1.11E-2</v>
      </c>
      <c r="Z373" s="2">
        <v>1.5900000000000001E-2</v>
      </c>
      <c r="AA373" s="5"/>
      <c r="AB373" s="2">
        <v>1.18E-2</v>
      </c>
      <c r="AC373" s="2">
        <v>1.15E-2</v>
      </c>
      <c r="AD373" s="2">
        <v>0.02</v>
      </c>
      <c r="AE373" s="2">
        <v>1.26E-2</v>
      </c>
    </row>
    <row r="374" spans="1:31">
      <c r="A374" s="8" t="s">
        <v>655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4">
        <v>3.8600000000000002E-2</v>
      </c>
      <c r="X374" s="4">
        <v>2.7300000000000001E-2</v>
      </c>
      <c r="Y374" s="4">
        <v>3.1E-2</v>
      </c>
      <c r="Z374" s="4">
        <v>3.4200000000000001E-2</v>
      </c>
      <c r="AA374" s="3"/>
      <c r="AB374" s="3"/>
      <c r="AC374" s="3"/>
      <c r="AD374" s="3"/>
      <c r="AE374" s="3"/>
    </row>
    <row r="375" spans="1:31">
      <c r="A375" s="8" t="s">
        <v>656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spans="1:31">
      <c r="A376" s="8" t="s">
        <v>239</v>
      </c>
      <c r="B376" s="3"/>
      <c r="C376" s="4">
        <v>9.1199999999999996E-3</v>
      </c>
      <c r="D376" s="4">
        <v>9.0299999999999998E-3</v>
      </c>
      <c r="E376" s="3"/>
      <c r="F376" s="3"/>
      <c r="G376" s="4">
        <v>2.7299999999999998E-3</v>
      </c>
      <c r="H376" s="4">
        <v>5.4200000000000003E-3</v>
      </c>
      <c r="I376" s="4">
        <v>5.96E-3</v>
      </c>
      <c r="J376" s="3"/>
      <c r="K376" s="4">
        <v>3.2100000000000002E-3</v>
      </c>
      <c r="L376" s="4">
        <v>5.4000000000000003E-3</v>
      </c>
      <c r="M376" s="3"/>
      <c r="N376" s="3"/>
      <c r="O376" s="3"/>
      <c r="P376" s="3"/>
      <c r="Q376" s="3"/>
      <c r="R376" s="4">
        <v>3.2000000000000002E-3</v>
      </c>
      <c r="S376" s="3"/>
      <c r="T376" s="3"/>
      <c r="U376" s="3"/>
      <c r="V376" s="3"/>
      <c r="W376" s="4">
        <v>2.7399999999999998E-3</v>
      </c>
      <c r="X376" s="3"/>
      <c r="Y376" s="3"/>
      <c r="Z376" s="4">
        <v>1.3500000000000001E-3</v>
      </c>
      <c r="AA376" s="3"/>
      <c r="AB376" s="3"/>
      <c r="AC376" s="4">
        <v>3.9899999999999996E-3</v>
      </c>
      <c r="AD376" s="3"/>
      <c r="AE376" s="4">
        <v>1.6900000000000001E-3</v>
      </c>
    </row>
    <row r="377" spans="1:31">
      <c r="A377" s="8" t="s">
        <v>657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>
      <c r="A378" s="8" t="s">
        <v>658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>
      <c r="A379" s="8" t="s">
        <v>659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spans="1:31">
      <c r="A380" s="8" t="s">
        <v>240</v>
      </c>
      <c r="B380" s="4">
        <v>2.2700000000000001E-2</v>
      </c>
      <c r="C380" s="4">
        <v>1.38E-2</v>
      </c>
      <c r="D380" s="4">
        <v>1.2999999999999999E-2</v>
      </c>
      <c r="E380" s="3"/>
      <c r="F380" s="4">
        <v>1.34E-2</v>
      </c>
      <c r="G380" s="4">
        <v>1.38E-2</v>
      </c>
      <c r="H380" s="4">
        <v>2.2200000000000001E-2</v>
      </c>
      <c r="I380" s="4">
        <v>2.3E-2</v>
      </c>
      <c r="J380" s="4">
        <v>2.6800000000000001E-2</v>
      </c>
      <c r="K380" s="4">
        <v>1.7000000000000001E-2</v>
      </c>
      <c r="L380" s="4">
        <v>2.4400000000000002E-2</v>
      </c>
      <c r="M380" s="4">
        <v>1.9199999999999998E-2</v>
      </c>
      <c r="N380" s="4">
        <v>2.8000000000000001E-2</v>
      </c>
      <c r="O380" s="4">
        <v>1.4999999999999999E-2</v>
      </c>
      <c r="P380" s="4">
        <v>1.8800000000000001E-2</v>
      </c>
      <c r="Q380" s="3"/>
      <c r="R380" s="4">
        <v>1.9300000000000001E-2</v>
      </c>
      <c r="S380" s="4">
        <v>3.0099999999999998E-2</v>
      </c>
      <c r="T380" s="4">
        <v>2.4500000000000001E-2</v>
      </c>
      <c r="U380" s="4">
        <v>2.9399999999999999E-2</v>
      </c>
      <c r="V380" s="4">
        <v>3.2800000000000003E-2</v>
      </c>
      <c r="W380" s="4">
        <v>3.15E-2</v>
      </c>
      <c r="X380" s="4">
        <v>2.64E-2</v>
      </c>
      <c r="Y380" s="4">
        <v>2.9000000000000001E-2</v>
      </c>
      <c r="Z380" s="4">
        <v>2.7400000000000001E-2</v>
      </c>
      <c r="AA380" s="4">
        <v>2.3900000000000001E-2</v>
      </c>
      <c r="AB380" s="4">
        <v>1.7100000000000001E-2</v>
      </c>
      <c r="AC380" s="4">
        <v>0.04</v>
      </c>
      <c r="AD380" s="4">
        <v>2.52E-2</v>
      </c>
      <c r="AE380" s="4">
        <v>2.35E-2</v>
      </c>
    </row>
    <row r="381" spans="1:31">
      <c r="A381" s="8" t="s">
        <v>660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>
      <c r="A382" s="8" t="s">
        <v>661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>
      <c r="A383" s="8" t="s">
        <v>662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>
      <c r="A384" s="8" t="s">
        <v>241</v>
      </c>
      <c r="B384" s="4">
        <v>3.6700000000000003E-2</v>
      </c>
      <c r="C384" s="4">
        <v>5.3100000000000001E-2</v>
      </c>
      <c r="D384" s="4">
        <v>4.0399999999999998E-2</v>
      </c>
      <c r="E384" s="4">
        <v>0.125</v>
      </c>
      <c r="F384" s="4">
        <v>0.122</v>
      </c>
      <c r="G384" s="4">
        <v>5.9799999999999999E-2</v>
      </c>
      <c r="H384" s="4">
        <v>0.05</v>
      </c>
      <c r="I384" s="4">
        <v>4.3900000000000002E-2</v>
      </c>
      <c r="J384" s="4">
        <v>4.8500000000000001E-2</v>
      </c>
      <c r="K384" s="4">
        <v>3.1399999999999997E-2</v>
      </c>
      <c r="L384" s="4">
        <v>6.0299999999999999E-2</v>
      </c>
      <c r="M384" s="4">
        <v>4.3099999999999999E-2</v>
      </c>
      <c r="N384" s="4">
        <v>4.7E-2</v>
      </c>
      <c r="O384" s="4">
        <v>8.4400000000000003E-2</v>
      </c>
      <c r="P384" s="4">
        <v>5.2699999999999997E-2</v>
      </c>
      <c r="Q384" s="4">
        <v>6.5600000000000006E-2</v>
      </c>
      <c r="R384" s="4">
        <v>6.6500000000000004E-2</v>
      </c>
      <c r="S384" s="4">
        <v>4.1000000000000002E-2</v>
      </c>
      <c r="T384" s="4">
        <v>4.6600000000000003E-2</v>
      </c>
      <c r="U384" s="4">
        <v>3.61E-2</v>
      </c>
      <c r="V384" s="4">
        <v>4.6899999999999997E-2</v>
      </c>
      <c r="W384" s="4">
        <v>6.6699999999999995E-2</v>
      </c>
      <c r="X384" s="4">
        <v>4.7899999999999998E-2</v>
      </c>
      <c r="Y384" s="4">
        <v>6.13E-2</v>
      </c>
      <c r="Z384" s="4">
        <v>4.6100000000000002E-2</v>
      </c>
      <c r="AA384" s="4">
        <v>5.57E-2</v>
      </c>
      <c r="AB384" s="4">
        <v>5.1700000000000003E-2</v>
      </c>
      <c r="AC384" s="4">
        <v>6.5699999999999995E-2</v>
      </c>
      <c r="AD384" s="4">
        <v>5.4800000000000001E-2</v>
      </c>
      <c r="AE384" s="4">
        <v>5.3499999999999999E-2</v>
      </c>
    </row>
    <row r="385" spans="1:31">
      <c r="A385" s="8" t="s">
        <v>663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2">
        <v>3.9399999999999999E-3</v>
      </c>
      <c r="U385" s="2">
        <v>2.7799999999999999E-3</v>
      </c>
      <c r="V385" s="2">
        <v>2.8500000000000001E-3</v>
      </c>
      <c r="W385" s="2">
        <v>4.1999999999999997E-3</v>
      </c>
      <c r="X385" s="2">
        <v>2.66E-3</v>
      </c>
      <c r="Y385" s="2">
        <v>1.9599999999999999E-3</v>
      </c>
      <c r="Z385" s="5"/>
      <c r="AA385" s="5"/>
      <c r="AB385" s="5"/>
      <c r="AC385" s="5"/>
      <c r="AD385" s="5"/>
      <c r="AE385" s="5"/>
    </row>
    <row r="386" spans="1:31">
      <c r="A386" s="8" t="s">
        <v>664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4">
        <v>3.5999999999999999E-3</v>
      </c>
      <c r="X386" s="3"/>
      <c r="Y386" s="3"/>
      <c r="Z386" s="3"/>
      <c r="AA386" s="3"/>
      <c r="AB386" s="3"/>
      <c r="AC386" s="3"/>
      <c r="AD386" s="3"/>
      <c r="AE386" s="3"/>
    </row>
    <row r="387" spans="1:31">
      <c r="A387" s="8" t="s">
        <v>665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spans="1:31">
      <c r="A388" s="8" t="s">
        <v>242</v>
      </c>
      <c r="B388" s="3"/>
      <c r="C388" s="4">
        <v>6.6100000000000004E-3</v>
      </c>
      <c r="D388" s="4">
        <v>3.7399999999999998E-3</v>
      </c>
      <c r="E388" s="3"/>
      <c r="F388" s="3"/>
      <c r="G388" s="3"/>
      <c r="H388" s="4">
        <v>2.47E-3</v>
      </c>
      <c r="I388" s="3"/>
      <c r="J388" s="3"/>
      <c r="K388" s="3"/>
      <c r="L388" s="4">
        <v>2.3500000000000001E-3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4">
        <v>3.31E-3</v>
      </c>
      <c r="X388" s="3"/>
      <c r="Y388" s="3"/>
      <c r="Z388" s="3"/>
      <c r="AA388" s="3"/>
      <c r="AB388" s="3"/>
      <c r="AC388" s="4">
        <v>1.17E-3</v>
      </c>
      <c r="AD388" s="3"/>
      <c r="AE388" s="3"/>
    </row>
    <row r="389" spans="1:31">
      <c r="A389" s="8" t="s">
        <v>666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spans="1:31">
      <c r="A390" s="8" t="s">
        <v>667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4">
        <v>2.2599999999999999E-3</v>
      </c>
      <c r="X390" s="3"/>
      <c r="Y390" s="3"/>
      <c r="Z390" s="3"/>
      <c r="AA390" s="3"/>
      <c r="AB390" s="3"/>
      <c r="AC390" s="3"/>
      <c r="AD390" s="3"/>
      <c r="AE390" s="3"/>
    </row>
    <row r="391" spans="1:31">
      <c r="A391" s="8" t="s">
        <v>668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spans="1:31">
      <c r="A392" s="8" t="s">
        <v>669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>
      <c r="A393" s="8" t="s">
        <v>243</v>
      </c>
      <c r="B393" s="5"/>
      <c r="C393" s="2">
        <v>1.91E-3</v>
      </c>
      <c r="D393" s="5"/>
      <c r="E393" s="5"/>
      <c r="F393" s="5"/>
      <c r="G393" s="5"/>
      <c r="H393" s="5"/>
      <c r="I393" s="2">
        <v>8.12E-4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2">
        <v>1.1999999999999999E-3</v>
      </c>
      <c r="X393" s="5"/>
      <c r="Y393" s="5"/>
      <c r="Z393" s="5"/>
      <c r="AA393" s="5"/>
      <c r="AB393" s="5"/>
      <c r="AC393" s="2">
        <v>7.7800000000000005E-4</v>
      </c>
      <c r="AD393" s="5"/>
      <c r="AE393" s="5"/>
    </row>
    <row r="394" spans="1:31">
      <c r="A394" s="8" t="s">
        <v>670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>
      <c r="A395" s="8" t="s">
        <v>244</v>
      </c>
      <c r="B395" s="2">
        <v>1.6199999999999999E-2</v>
      </c>
      <c r="C395" s="2">
        <v>1.5900000000000001E-2</v>
      </c>
      <c r="D395" s="5"/>
      <c r="E395" s="5"/>
      <c r="F395" s="5"/>
      <c r="G395" s="5"/>
      <c r="H395" s="2">
        <v>1.8100000000000002E-2</v>
      </c>
      <c r="I395" s="2">
        <v>1.34E-2</v>
      </c>
      <c r="J395" s="2">
        <v>1.1599999999999999E-2</v>
      </c>
      <c r="K395" s="2">
        <v>2.69E-2</v>
      </c>
      <c r="L395" s="2">
        <v>2.4500000000000001E-2</v>
      </c>
      <c r="M395" s="2">
        <v>3.27E-2</v>
      </c>
      <c r="N395" s="2">
        <v>6.9499999999999996E-3</v>
      </c>
      <c r="O395" s="2">
        <v>4.3600000000000002E-3</v>
      </c>
      <c r="P395" s="2">
        <v>1.0999999999999999E-2</v>
      </c>
      <c r="Q395" s="2">
        <v>9.1500000000000001E-3</v>
      </c>
      <c r="R395" s="2">
        <v>1.9199999999999998E-2</v>
      </c>
      <c r="S395" s="2">
        <v>1.7500000000000002E-2</v>
      </c>
      <c r="T395" s="5"/>
      <c r="U395" s="2">
        <v>1.7600000000000001E-2</v>
      </c>
      <c r="V395" s="2">
        <v>1.54E-2</v>
      </c>
      <c r="W395" s="2">
        <v>2.8000000000000001E-2</v>
      </c>
      <c r="X395" s="2">
        <v>1.9E-2</v>
      </c>
      <c r="Y395" s="2">
        <v>1.5599999999999999E-2</v>
      </c>
      <c r="Z395" s="2">
        <v>2.7699999999999999E-2</v>
      </c>
      <c r="AA395" s="5"/>
      <c r="AB395" s="2">
        <v>7.0400000000000003E-3</v>
      </c>
      <c r="AC395" s="2">
        <v>1.41E-2</v>
      </c>
      <c r="AD395" s="2">
        <v>2.4400000000000002E-2</v>
      </c>
      <c r="AE395" s="2">
        <v>9.2800000000000001E-3</v>
      </c>
    </row>
    <row r="396" spans="1:31">
      <c r="A396" s="8" t="s">
        <v>671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>
      <c r="A397" s="8" t="s">
        <v>245</v>
      </c>
      <c r="B397" s="2">
        <v>8.6699999999999999E-2</v>
      </c>
      <c r="C397" s="2">
        <v>5.3900000000000003E-2</v>
      </c>
      <c r="D397" s="2">
        <v>3.1E-2</v>
      </c>
      <c r="E397" s="2">
        <v>4.1799999999999997E-2</v>
      </c>
      <c r="F397" s="2">
        <v>0.114</v>
      </c>
      <c r="G397" s="2">
        <v>2.2499999999999999E-2</v>
      </c>
      <c r="H397" s="2">
        <v>6.4600000000000005E-2</v>
      </c>
      <c r="I397" s="2">
        <v>6.54E-2</v>
      </c>
      <c r="J397" s="2">
        <v>6.4299999999999996E-2</v>
      </c>
      <c r="K397" s="2">
        <v>0.106</v>
      </c>
      <c r="L397" s="2">
        <v>5.2999999999999999E-2</v>
      </c>
      <c r="M397" s="2">
        <v>8.0600000000000005E-2</v>
      </c>
      <c r="N397" s="2">
        <v>5.1499999999999997E-2</v>
      </c>
      <c r="O397" s="2">
        <v>3.7100000000000001E-2</v>
      </c>
      <c r="P397" s="2">
        <v>7.8100000000000003E-2</v>
      </c>
      <c r="Q397" s="2">
        <v>2.8000000000000001E-2</v>
      </c>
      <c r="R397" s="2">
        <v>5.1700000000000003E-2</v>
      </c>
      <c r="S397" s="2">
        <v>9.5899999999999999E-2</v>
      </c>
      <c r="T397" s="2">
        <v>0.13600000000000001</v>
      </c>
      <c r="U397" s="2">
        <v>7.2099999999999997E-2</v>
      </c>
      <c r="V397" s="2">
        <v>7.4899999999999994E-2</v>
      </c>
      <c r="W397" s="2">
        <v>0.111</v>
      </c>
      <c r="X397" s="2">
        <v>9.2799999999999994E-2</v>
      </c>
      <c r="Y397" s="2">
        <v>9.3700000000000006E-2</v>
      </c>
      <c r="Z397" s="2">
        <v>0.09</v>
      </c>
      <c r="AA397" s="2">
        <v>4.3400000000000001E-2</v>
      </c>
      <c r="AB397" s="2">
        <v>6.2399999999999997E-2</v>
      </c>
      <c r="AC397" s="2">
        <v>5.7500000000000002E-2</v>
      </c>
      <c r="AD397" s="2">
        <v>8.8800000000000004E-2</v>
      </c>
      <c r="AE397" s="2">
        <v>3.2099999999999997E-2</v>
      </c>
    </row>
    <row r="398" spans="1:31">
      <c r="A398" s="8" t="s">
        <v>672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>
      <c r="A399" s="8" t="s">
        <v>673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spans="1:31">
      <c r="A400" s="8" t="s">
        <v>674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>
      <c r="A401" s="8" t="s">
        <v>675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>
      <c r="A402" s="8" t="s">
        <v>246</v>
      </c>
      <c r="B402" s="3"/>
      <c r="C402" s="4">
        <v>2.1099999999999999E-3</v>
      </c>
      <c r="D402" s="3"/>
      <c r="E402" s="3"/>
      <c r="F402" s="3"/>
      <c r="G402" s="3"/>
      <c r="H402" s="3"/>
      <c r="I402" s="3"/>
      <c r="J402" s="3"/>
      <c r="K402" s="3"/>
      <c r="L402" s="4">
        <v>3.0999999999999999E-3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4">
        <v>2.3500000000000001E-3</v>
      </c>
      <c r="X402" s="3"/>
      <c r="Y402" s="3"/>
      <c r="Z402" s="3"/>
      <c r="AA402" s="3"/>
      <c r="AB402" s="3"/>
      <c r="AC402" s="4">
        <v>2.3900000000000002E-3</v>
      </c>
      <c r="AD402" s="3"/>
      <c r="AE402" s="3"/>
    </row>
    <row r="403" spans="1:31">
      <c r="A403" s="8" t="s">
        <v>247</v>
      </c>
      <c r="B403" s="2">
        <v>3.4500000000000003E-2</v>
      </c>
      <c r="C403" s="2">
        <v>3.3099999999999997E-2</v>
      </c>
      <c r="D403" s="2">
        <v>1.9699999999999999E-2</v>
      </c>
      <c r="E403" s="2">
        <v>7.4899999999999994E-2</v>
      </c>
      <c r="F403" s="2">
        <v>0.107</v>
      </c>
      <c r="G403" s="2">
        <v>1.7000000000000001E-2</v>
      </c>
      <c r="H403" s="2">
        <v>4.4600000000000001E-2</v>
      </c>
      <c r="I403" s="2">
        <v>3.1899999999999998E-2</v>
      </c>
      <c r="J403" s="2">
        <v>3.8899999999999997E-2</v>
      </c>
      <c r="K403" s="2">
        <v>6.8900000000000003E-2</v>
      </c>
      <c r="L403" s="2">
        <v>5.1299999999999998E-2</v>
      </c>
      <c r="M403" s="2">
        <v>8.4699999999999998E-2</v>
      </c>
      <c r="N403" s="2">
        <v>4.5900000000000003E-2</v>
      </c>
      <c r="O403" s="2">
        <v>7.2300000000000003E-2</v>
      </c>
      <c r="P403" s="2">
        <v>3.7900000000000003E-2</v>
      </c>
      <c r="Q403" s="2">
        <v>9.5699999999999993E-2</v>
      </c>
      <c r="R403" s="2">
        <v>3.1800000000000002E-2</v>
      </c>
      <c r="S403" s="2">
        <v>4.9700000000000001E-2</v>
      </c>
      <c r="T403" s="2">
        <v>1.5599999999999999E-2</v>
      </c>
      <c r="U403" s="2">
        <v>6.7000000000000004E-2</v>
      </c>
      <c r="V403" s="2">
        <v>5.96E-2</v>
      </c>
      <c r="W403" s="2">
        <v>3.9E-2</v>
      </c>
      <c r="X403" s="2">
        <v>4.0599999999999997E-2</v>
      </c>
      <c r="Y403" s="2">
        <v>3.5700000000000003E-2</v>
      </c>
      <c r="Z403" s="2">
        <v>5.8200000000000002E-2</v>
      </c>
      <c r="AA403" s="2">
        <v>6.2199999999999998E-2</v>
      </c>
      <c r="AB403" s="2">
        <v>5.7500000000000002E-2</v>
      </c>
      <c r="AC403" s="2">
        <v>3.8399999999999997E-2</v>
      </c>
      <c r="AD403" s="2">
        <v>0.126</v>
      </c>
      <c r="AE403" s="2">
        <v>5.5399999999999998E-2</v>
      </c>
    </row>
    <row r="404" spans="1:31">
      <c r="A404" s="8" t="s">
        <v>676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>
      <c r="A405" s="8" t="s">
        <v>677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>
      <c r="A406" s="8" t="s">
        <v>678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>
      <c r="A407" s="8" t="s">
        <v>248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">
        <v>2.4599999999999999E-3</v>
      </c>
      <c r="Y407" s="2">
        <v>2.7699999999999999E-3</v>
      </c>
      <c r="Z407" s="2">
        <v>1.83E-2</v>
      </c>
      <c r="AA407" s="5"/>
      <c r="AB407" s="5"/>
      <c r="AC407" s="5"/>
      <c r="AD407" s="5"/>
      <c r="AE407" s="2">
        <v>2.0500000000000001E-2</v>
      </c>
    </row>
    <row r="408" spans="1:31">
      <c r="A408" s="8" t="s">
        <v>679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>
      <c r="A409" s="8" t="s">
        <v>680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>
      <c r="A410" s="8" t="s">
        <v>249</v>
      </c>
      <c r="B410" s="3"/>
      <c r="C410" s="4">
        <v>2.5399999999999999E-2</v>
      </c>
      <c r="D410" s="4">
        <v>1.6299999999999999E-2</v>
      </c>
      <c r="E410" s="3"/>
      <c r="F410" s="4">
        <v>9.0800000000000006E-2</v>
      </c>
      <c r="G410" s="4">
        <v>1.5800000000000002E-2</v>
      </c>
      <c r="H410" s="4">
        <v>2.3400000000000001E-2</v>
      </c>
      <c r="I410" s="4">
        <v>2.2100000000000002E-2</v>
      </c>
      <c r="J410" s="4">
        <v>1.66E-2</v>
      </c>
      <c r="K410" s="4">
        <v>6.2399999999999997E-2</v>
      </c>
      <c r="L410" s="4">
        <v>2.01E-2</v>
      </c>
      <c r="M410" s="3"/>
      <c r="N410" s="3"/>
      <c r="O410" s="3"/>
      <c r="P410" s="3"/>
      <c r="Q410" s="3"/>
      <c r="R410" s="4">
        <v>1.5299999999999999E-2</v>
      </c>
      <c r="S410" s="3"/>
      <c r="T410" s="4">
        <v>1.5299999999999999E-2</v>
      </c>
      <c r="U410" s="4">
        <v>2.98E-2</v>
      </c>
      <c r="V410" s="4">
        <v>2.3699999999999999E-2</v>
      </c>
      <c r="W410" s="4">
        <v>3.7199999999999997E-2</v>
      </c>
      <c r="X410" s="4">
        <v>2.6100000000000002E-2</v>
      </c>
      <c r="Y410" s="4">
        <v>2.2700000000000001E-2</v>
      </c>
      <c r="Z410" s="4">
        <v>1.9199999999999998E-2</v>
      </c>
      <c r="AA410" s="3"/>
      <c r="AB410" s="3"/>
      <c r="AC410" s="4">
        <v>1.9199999999999998E-2</v>
      </c>
      <c r="AD410" s="4">
        <v>7.9899999999999999E-2</v>
      </c>
      <c r="AE410" s="4">
        <v>2.4400000000000002E-2</v>
      </c>
    </row>
    <row r="411" spans="1:31">
      <c r="A411" s="8" t="s">
        <v>681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>
      <c r="A412" s="8" t="s">
        <v>682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>
      <c r="A413" s="8" t="s">
        <v>683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>
      <c r="A414" s="8" t="s">
        <v>684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>
      <c r="A415" s="8" t="s">
        <v>250</v>
      </c>
      <c r="B415" s="2">
        <v>1.6400000000000001E-2</v>
      </c>
      <c r="C415" s="2">
        <v>2.5399999999999999E-2</v>
      </c>
      <c r="D415" s="2">
        <v>1.7899999999999999E-2</v>
      </c>
      <c r="E415" s="2">
        <v>0.28499999999999998</v>
      </c>
      <c r="F415" s="2">
        <v>0.23799999999999999</v>
      </c>
      <c r="G415" s="2">
        <v>4.58E-2</v>
      </c>
      <c r="H415" s="2">
        <v>2.5100000000000001E-2</v>
      </c>
      <c r="I415" s="2">
        <v>2.1100000000000001E-2</v>
      </c>
      <c r="J415" s="2">
        <v>2.7699999999999999E-2</v>
      </c>
      <c r="K415" s="2">
        <v>2.3099999999999999E-2</v>
      </c>
      <c r="L415" s="2">
        <v>3.8800000000000001E-2</v>
      </c>
      <c r="M415" s="2">
        <v>2.7400000000000001E-2</v>
      </c>
      <c r="N415" s="2">
        <v>3.09E-2</v>
      </c>
      <c r="O415" s="2">
        <v>5.7200000000000001E-2</v>
      </c>
      <c r="P415" s="2">
        <v>3.1199999999999999E-2</v>
      </c>
      <c r="Q415" s="2">
        <v>3.8600000000000002E-2</v>
      </c>
      <c r="R415" s="2">
        <v>4.7300000000000002E-2</v>
      </c>
      <c r="S415" s="2">
        <v>2.29E-2</v>
      </c>
      <c r="T415" s="2">
        <v>6.2E-2</v>
      </c>
      <c r="U415" s="2">
        <v>2.01E-2</v>
      </c>
      <c r="V415" s="2">
        <v>2.93E-2</v>
      </c>
      <c r="W415" s="2">
        <v>4.4200000000000003E-2</v>
      </c>
      <c r="X415" s="2">
        <v>2.8500000000000001E-2</v>
      </c>
      <c r="Y415" s="2">
        <v>4.0800000000000003E-2</v>
      </c>
      <c r="Z415" s="2">
        <v>1.9E-2</v>
      </c>
      <c r="AA415" s="5"/>
      <c r="AB415" s="2">
        <v>2.7099999999999999E-2</v>
      </c>
      <c r="AC415" s="2">
        <v>3.78E-2</v>
      </c>
      <c r="AD415" s="2">
        <v>4.5100000000000001E-2</v>
      </c>
      <c r="AE415" s="2">
        <v>2.7900000000000001E-2</v>
      </c>
    </row>
    <row r="416" spans="1:31">
      <c r="A416" s="8" t="s">
        <v>685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>
      <c r="A417" s="8" t="s">
        <v>686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spans="1:31">
      <c r="A418" s="8" t="s">
        <v>687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4">
        <v>2.0699999999999998E-3</v>
      </c>
      <c r="X418" s="3"/>
      <c r="Y418" s="3"/>
      <c r="Z418" s="3"/>
      <c r="AA418" s="3"/>
      <c r="AB418" s="3"/>
      <c r="AC418" s="3"/>
      <c r="AD418" s="3"/>
      <c r="AE418" s="3"/>
    </row>
    <row r="419" spans="1:31">
      <c r="A419" s="8" t="s">
        <v>688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2">
        <v>1.7700000000000001E-3</v>
      </c>
      <c r="X419" s="5"/>
      <c r="Y419" s="5"/>
      <c r="Z419" s="5"/>
      <c r="AA419" s="5"/>
      <c r="AB419" s="5"/>
      <c r="AC419" s="5"/>
      <c r="AD419" s="5"/>
      <c r="AE419" s="5"/>
    </row>
    <row r="420" spans="1:31">
      <c r="A420" s="8" t="s">
        <v>689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>
      <c r="A421" s="8" t="s">
        <v>690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spans="1:31">
      <c r="A422" s="8" t="s">
        <v>251</v>
      </c>
      <c r="B422" s="3"/>
      <c r="C422" s="4">
        <v>3.98E-3</v>
      </c>
      <c r="D422" s="4">
        <v>1.34E-3</v>
      </c>
      <c r="E422" s="3"/>
      <c r="F422" s="3"/>
      <c r="G422" s="4">
        <v>6.7199999999999996E-4</v>
      </c>
      <c r="H422" s="4">
        <v>1.14E-3</v>
      </c>
      <c r="I422" s="4">
        <v>1.3500000000000001E-3</v>
      </c>
      <c r="J422" s="3"/>
      <c r="K422" s="3"/>
      <c r="L422" s="4">
        <v>1.5399999999999999E-3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4">
        <v>2.0899999999999998E-3</v>
      </c>
      <c r="X422" s="3"/>
      <c r="Y422" s="3"/>
      <c r="Z422" s="3"/>
      <c r="AA422" s="3"/>
      <c r="AB422" s="3"/>
      <c r="AC422" s="4">
        <v>8.4400000000000002E-4</v>
      </c>
      <c r="AD422" s="3"/>
      <c r="AE422" s="3"/>
    </row>
    <row r="423" spans="1:31">
      <c r="A423" s="8" t="s">
        <v>252</v>
      </c>
      <c r="B423" s="5"/>
      <c r="C423" s="2">
        <v>5.7400000000000003E-3</v>
      </c>
      <c r="D423" s="5"/>
      <c r="E423" s="5"/>
      <c r="F423" s="5"/>
      <c r="G423" s="5"/>
      <c r="H423" s="5"/>
      <c r="I423" s="5"/>
      <c r="J423" s="5"/>
      <c r="K423" s="5"/>
      <c r="L423" s="2">
        <v>4.3800000000000002E-3</v>
      </c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2">
        <v>3.5500000000000002E-3</v>
      </c>
      <c r="X423" s="5"/>
      <c r="Y423" s="5"/>
      <c r="Z423" s="5"/>
      <c r="AA423" s="5"/>
      <c r="AB423" s="5"/>
      <c r="AC423" s="2">
        <v>3.3500000000000001E-3</v>
      </c>
      <c r="AD423" s="5"/>
      <c r="AE423" s="5"/>
    </row>
    <row r="424" spans="1:31">
      <c r="A424" s="8" t="s">
        <v>691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4">
        <v>3.3400000000000001E-3</v>
      </c>
      <c r="X424" s="3"/>
      <c r="Y424" s="3"/>
      <c r="Z424" s="3"/>
      <c r="AA424" s="3"/>
      <c r="AB424" s="3"/>
      <c r="AC424" s="3"/>
      <c r="AD424" s="3"/>
      <c r="AE424" s="3"/>
    </row>
    <row r="425" spans="1:31">
      <c r="A425" s="8" t="s">
        <v>692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spans="1:31">
      <c r="A426" s="8" t="s">
        <v>693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>
      <c r="A427" s="8" t="s">
        <v>253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2">
        <v>2.7499999999999998E-3</v>
      </c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2">
        <v>6.2100000000000002E-3</v>
      </c>
      <c r="AD427" s="5"/>
      <c r="AE427" s="5"/>
    </row>
    <row r="428" spans="1:31">
      <c r="A428" s="8" t="s">
        <v>254</v>
      </c>
      <c r="B428" s="3"/>
      <c r="C428" s="3"/>
      <c r="D428" s="3"/>
      <c r="E428" s="4">
        <v>1.9400000000000001E-2</v>
      </c>
      <c r="F428" s="4">
        <v>2.5700000000000001E-2</v>
      </c>
      <c r="G428" s="4">
        <v>2.4E-2</v>
      </c>
      <c r="H428" s="3"/>
      <c r="I428" s="3"/>
      <c r="J428" s="3"/>
      <c r="K428" s="4">
        <v>3.1899999999999998E-2</v>
      </c>
      <c r="L428" s="3"/>
      <c r="M428" s="3"/>
      <c r="N428" s="3"/>
      <c r="O428" s="3"/>
      <c r="P428" s="3"/>
      <c r="Q428" s="4">
        <v>2.7900000000000001E-2</v>
      </c>
      <c r="R428" s="4">
        <v>7.22E-2</v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4">
        <v>4.5900000000000003E-2</v>
      </c>
      <c r="AE428" s="4">
        <v>5.3400000000000003E-2</v>
      </c>
    </row>
    <row r="429" spans="1:31">
      <c r="A429" s="8" t="s">
        <v>255</v>
      </c>
      <c r="B429" s="2">
        <v>0.10299999999999999</v>
      </c>
      <c r="C429" s="2">
        <v>5.0700000000000002E-2</v>
      </c>
      <c r="D429" s="2">
        <v>1.89E-2</v>
      </c>
      <c r="E429" s="5"/>
      <c r="F429" s="5"/>
      <c r="G429" s="5"/>
      <c r="H429" s="2">
        <v>6.5699999999999995E-2</v>
      </c>
      <c r="I429" s="2">
        <v>6.4600000000000005E-2</v>
      </c>
      <c r="J429" s="2">
        <v>6.9699999999999998E-2</v>
      </c>
      <c r="K429" s="5"/>
      <c r="L429" s="2">
        <v>6.2399999999999997E-2</v>
      </c>
      <c r="M429" s="2">
        <v>0.21099999999999999</v>
      </c>
      <c r="N429" s="2">
        <v>0.11700000000000001</v>
      </c>
      <c r="O429" s="2">
        <v>5.5399999999999998E-2</v>
      </c>
      <c r="P429" s="2">
        <v>9.3200000000000005E-2</v>
      </c>
      <c r="Q429" s="5"/>
      <c r="R429" s="5"/>
      <c r="S429" s="2">
        <v>0.13500000000000001</v>
      </c>
      <c r="T429" s="2">
        <v>3.4299999999999997E-2</v>
      </c>
      <c r="U429" s="2">
        <v>7.5200000000000003E-2</v>
      </c>
      <c r="V429" s="2">
        <v>9.6100000000000005E-2</v>
      </c>
      <c r="W429" s="2">
        <v>7.6399999999999996E-2</v>
      </c>
      <c r="X429" s="2">
        <v>5.3100000000000001E-2</v>
      </c>
      <c r="Y429" s="2">
        <v>6.7100000000000007E-2</v>
      </c>
      <c r="Z429" s="2">
        <v>0.113</v>
      </c>
      <c r="AA429" s="5"/>
      <c r="AB429" s="2">
        <v>0.105</v>
      </c>
      <c r="AC429" s="2">
        <v>5.8099999999999999E-2</v>
      </c>
      <c r="AD429" s="5"/>
      <c r="AE429" s="5"/>
    </row>
    <row r="430" spans="1:31">
      <c r="A430" s="8" t="s">
        <v>694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>
      <c r="A431" s="8" t="s">
        <v>695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spans="1:31">
      <c r="A432" s="8" t="s">
        <v>696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>
      <c r="A433" s="8" t="s">
        <v>697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>
      <c r="A434" s="8" t="s">
        <v>698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>
      <c r="A435" s="8" t="s">
        <v>699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>
      <c r="A436" s="8" t="s">
        <v>256</v>
      </c>
      <c r="B436" s="3"/>
      <c r="C436" s="4">
        <v>4.8399999999999997E-3</v>
      </c>
      <c r="D436" s="4">
        <v>3.47E-3</v>
      </c>
      <c r="E436" s="3"/>
      <c r="F436" s="3"/>
      <c r="G436" s="3"/>
      <c r="H436" s="4">
        <v>4.5300000000000002E-3</v>
      </c>
      <c r="I436" s="3"/>
      <c r="J436" s="3"/>
      <c r="K436" s="3"/>
      <c r="L436" s="4">
        <v>3.32E-3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4">
        <v>2.9299999999999999E-3</v>
      </c>
      <c r="X436" s="3"/>
      <c r="Y436" s="3"/>
      <c r="Z436" s="3"/>
      <c r="AA436" s="3"/>
      <c r="AB436" s="3"/>
      <c r="AC436" s="3"/>
      <c r="AD436" s="3"/>
      <c r="AE436" s="3"/>
    </row>
    <row r="437" spans="1:31">
      <c r="A437" s="8" t="s">
        <v>257</v>
      </c>
      <c r="B437" s="5"/>
      <c r="C437" s="2">
        <v>3.2699999999999999E-3</v>
      </c>
      <c r="D437" s="2">
        <v>1.73E-3</v>
      </c>
      <c r="E437" s="5"/>
      <c r="F437" s="5"/>
      <c r="G437" s="5"/>
      <c r="H437" s="2">
        <v>1.07E-3</v>
      </c>
      <c r="I437" s="2">
        <v>1.3799999999999999E-3</v>
      </c>
      <c r="J437" s="5"/>
      <c r="K437" s="5"/>
      <c r="L437" s="2">
        <v>2.0799999999999998E-3</v>
      </c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2">
        <v>2.1199999999999999E-3</v>
      </c>
      <c r="X437" s="5"/>
      <c r="Y437" s="5"/>
      <c r="Z437" s="2">
        <v>7.27E-4</v>
      </c>
      <c r="AA437" s="5"/>
      <c r="AB437" s="5"/>
      <c r="AC437" s="2">
        <v>1.48E-3</v>
      </c>
      <c r="AD437" s="5"/>
      <c r="AE437" s="5"/>
    </row>
    <row r="438" spans="1:31">
      <c r="A438" s="8" t="s">
        <v>258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>
      <c r="A439" s="8" t="s">
        <v>259</v>
      </c>
      <c r="B439" s="5"/>
      <c r="C439" s="2">
        <v>4.5199999999999997E-3</v>
      </c>
      <c r="D439" s="2">
        <v>2.33E-3</v>
      </c>
      <c r="E439" s="5"/>
      <c r="F439" s="5"/>
      <c r="G439" s="5"/>
      <c r="H439" s="2">
        <v>3.3800000000000002E-3</v>
      </c>
      <c r="I439" s="2">
        <v>1.81E-3</v>
      </c>
      <c r="J439" s="5"/>
      <c r="K439" s="5"/>
      <c r="L439" s="2">
        <v>2.3999999999999998E-3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2">
        <v>2.3900000000000002E-3</v>
      </c>
      <c r="X439" s="5"/>
      <c r="Y439" s="5"/>
      <c r="Z439" s="5"/>
      <c r="AA439" s="5"/>
      <c r="AB439" s="5"/>
      <c r="AC439" s="2">
        <v>2.2399999999999998E-3</v>
      </c>
      <c r="AD439" s="5"/>
      <c r="AE439" s="5"/>
    </row>
    <row r="440" spans="1:31">
      <c r="A440" s="8" t="s">
        <v>260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>
      <c r="A441" s="8" t="s">
        <v>261</v>
      </c>
      <c r="B441" s="5"/>
      <c r="C441" s="2">
        <v>5.1200000000000004E-3</v>
      </c>
      <c r="D441" s="5"/>
      <c r="E441" s="5"/>
      <c r="F441" s="5"/>
      <c r="G441" s="5"/>
      <c r="H441" s="5"/>
      <c r="I441" s="5"/>
      <c r="J441" s="5"/>
      <c r="K441" s="5"/>
      <c r="L441" s="2">
        <v>4.5199999999999997E-3</v>
      </c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2">
        <v>4.28E-3</v>
      </c>
      <c r="X441" s="5"/>
      <c r="Y441" s="5"/>
      <c r="Z441" s="5"/>
      <c r="AA441" s="5"/>
      <c r="AB441" s="5"/>
      <c r="AC441" s="2">
        <v>2.3600000000000001E-3</v>
      </c>
      <c r="AD441" s="5"/>
      <c r="AE441" s="5"/>
    </row>
    <row r="442" spans="1:31">
      <c r="A442" s="8" t="s">
        <v>700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>
      <c r="A443" s="8" t="s">
        <v>701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spans="1:31">
      <c r="A444" s="8" t="s">
        <v>262</v>
      </c>
      <c r="B444" s="3"/>
      <c r="C444" s="4">
        <v>9.2300000000000004E-3</v>
      </c>
      <c r="D444" s="4">
        <v>6.6400000000000001E-3</v>
      </c>
      <c r="E444" s="4">
        <v>1.6500000000000001E-2</v>
      </c>
      <c r="F444" s="4">
        <v>2.0899999999999998E-2</v>
      </c>
      <c r="G444" s="4">
        <v>1.26E-2</v>
      </c>
      <c r="H444" s="4">
        <v>8.3800000000000003E-3</v>
      </c>
      <c r="I444" s="4">
        <v>6.5100000000000002E-3</v>
      </c>
      <c r="J444" s="4">
        <v>1.18E-2</v>
      </c>
      <c r="K444" s="3"/>
      <c r="L444" s="4">
        <v>8.9999999999999993E-3</v>
      </c>
      <c r="M444" s="3"/>
      <c r="N444" s="4">
        <v>5.5199999999999997E-3</v>
      </c>
      <c r="O444" s="4">
        <v>1.0200000000000001E-2</v>
      </c>
      <c r="P444" s="4">
        <v>8.0099999999999998E-3</v>
      </c>
      <c r="Q444" s="3"/>
      <c r="R444" s="4">
        <v>1.4999999999999999E-2</v>
      </c>
      <c r="S444" s="3"/>
      <c r="T444" s="4">
        <v>1.9699999999999999E-2</v>
      </c>
      <c r="U444" s="4">
        <v>6.7400000000000003E-3</v>
      </c>
      <c r="V444" s="4">
        <v>8.3300000000000006E-3</v>
      </c>
      <c r="W444" s="4">
        <v>1.1900000000000001E-2</v>
      </c>
      <c r="X444" s="4">
        <v>6.5199999999999998E-3</v>
      </c>
      <c r="Y444" s="4">
        <v>1.3599999999999999E-2</v>
      </c>
      <c r="Z444" s="4">
        <v>7.5900000000000004E-3</v>
      </c>
      <c r="AA444" s="3"/>
      <c r="AB444" s="3"/>
      <c r="AC444" s="4">
        <v>9.3900000000000008E-3</v>
      </c>
      <c r="AD444" s="4">
        <v>1.21E-2</v>
      </c>
      <c r="AE444" s="3"/>
    </row>
    <row r="445" spans="1:31">
      <c r="A445" s="8" t="s">
        <v>263</v>
      </c>
      <c r="B445" s="2">
        <v>3.04E-2</v>
      </c>
      <c r="C445" s="5"/>
      <c r="D445" s="5"/>
      <c r="E445" s="5"/>
      <c r="F445" s="5"/>
      <c r="G445" s="5"/>
      <c r="H445" s="5"/>
      <c r="I445" s="5"/>
      <c r="J445" s="2">
        <v>5.04E-2</v>
      </c>
      <c r="K445" s="5"/>
      <c r="L445" s="2">
        <v>4.9200000000000001E-2</v>
      </c>
      <c r="M445" s="5"/>
      <c r="N445" s="2">
        <v>4.36E-2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spans="1:31">
      <c r="A446" s="8" t="s">
        <v>702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>
      <c r="A447" s="8" t="s">
        <v>703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spans="1:31">
      <c r="A448" s="8" t="s">
        <v>704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>
      <c r="A449" s="8" t="s">
        <v>705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spans="1:31">
      <c r="A450" s="8" t="s">
        <v>706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>
      <c r="A451" s="8" t="s">
        <v>707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spans="1:31">
      <c r="A452" s="8" t="s">
        <v>708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>
      <c r="A453" s="8" t="s">
        <v>709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spans="1:31">
      <c r="A454" s="8" t="s">
        <v>710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>
      <c r="A455" s="8" t="s">
        <v>711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spans="1:31">
      <c r="A456" s="8" t="s">
        <v>264</v>
      </c>
      <c r="B456" s="3"/>
      <c r="C456" s="4">
        <v>4.5699999999999998E-2</v>
      </c>
      <c r="D456" s="4">
        <v>4.2200000000000001E-2</v>
      </c>
      <c r="E456" s="3"/>
      <c r="F456" s="3"/>
      <c r="G456" s="3"/>
      <c r="H456" s="4">
        <v>3.4200000000000001E-2</v>
      </c>
      <c r="I456" s="4">
        <v>3.2399999999999998E-2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>
      <c r="A457" s="8" t="s">
        <v>712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spans="1:31">
      <c r="A458" s="8" t="s">
        <v>713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>
      <c r="A459" s="8" t="s">
        <v>714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spans="1:31">
      <c r="A460" s="8" t="s">
        <v>265</v>
      </c>
      <c r="B460" s="3"/>
      <c r="C460" s="4">
        <v>1.1900000000000001E-2</v>
      </c>
      <c r="D460" s="4">
        <v>5.45E-3</v>
      </c>
      <c r="E460" s="3"/>
      <c r="F460" s="3"/>
      <c r="G460" s="3"/>
      <c r="H460" s="3"/>
      <c r="I460" s="4">
        <v>3.7499999999999999E-3</v>
      </c>
      <c r="J460" s="3"/>
      <c r="K460" s="3"/>
      <c r="L460" s="4">
        <v>3.5599999999999998E-3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>
      <c r="A461" s="8" t="s">
        <v>715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spans="1:31">
      <c r="A462" s="8" t="s">
        <v>716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>
      <c r="A463" s="8" t="s">
        <v>717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spans="1:31">
      <c r="A464" s="8" t="s">
        <v>266</v>
      </c>
      <c r="B464" s="4">
        <v>2.7599999999999999E-3</v>
      </c>
      <c r="C464" s="4">
        <v>4.7600000000000003E-3</v>
      </c>
      <c r="D464" s="4">
        <v>2.6700000000000001E-3</v>
      </c>
      <c r="E464" s="4">
        <v>1.33E-3</v>
      </c>
      <c r="F464" s="4">
        <v>1.89E-3</v>
      </c>
      <c r="G464" s="3"/>
      <c r="H464" s="4">
        <v>3.0899999999999999E-3</v>
      </c>
      <c r="I464" s="4">
        <v>3.1700000000000001E-3</v>
      </c>
      <c r="J464" s="4">
        <v>2.8E-3</v>
      </c>
      <c r="K464" s="4">
        <v>1.24E-3</v>
      </c>
      <c r="L464" s="4">
        <v>4.2500000000000003E-3</v>
      </c>
      <c r="M464" s="4">
        <v>3.14E-3</v>
      </c>
      <c r="N464" s="4">
        <v>2.2100000000000002E-3</v>
      </c>
      <c r="O464" s="4">
        <v>1.7799999999999999E-3</v>
      </c>
      <c r="P464" s="4">
        <v>3.13E-3</v>
      </c>
      <c r="Q464" s="4">
        <v>2.2799999999999999E-3</v>
      </c>
      <c r="R464" s="3"/>
      <c r="S464" s="4">
        <v>4.4400000000000004E-3</v>
      </c>
      <c r="T464" s="3"/>
      <c r="U464" s="3"/>
      <c r="V464" s="3"/>
      <c r="W464" s="3"/>
      <c r="X464" s="3"/>
      <c r="Y464" s="3"/>
      <c r="Z464" s="3"/>
      <c r="AA464" s="3"/>
      <c r="AB464" s="4">
        <v>2.3800000000000002E-3</v>
      </c>
      <c r="AC464" s="4">
        <v>3.3500000000000001E-3</v>
      </c>
      <c r="AD464" s="4">
        <v>1.42E-3</v>
      </c>
      <c r="AE464" s="4">
        <v>2.4499999999999999E-3</v>
      </c>
    </row>
    <row r="465" spans="1:31">
      <c r="A465" s="8" t="s">
        <v>718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spans="1:31">
      <c r="A466" s="8" t="s">
        <v>719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>
      <c r="A467" s="8" t="s">
        <v>720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spans="1:31">
      <c r="A468" s="8" t="s">
        <v>721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>
      <c r="A469" s="8" t="s">
        <v>722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spans="1:31">
      <c r="A470" s="8" t="s">
        <v>723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>
      <c r="A471" s="8" t="s">
        <v>267</v>
      </c>
      <c r="B471" s="5"/>
      <c r="C471" s="2">
        <v>8.3799999999999999E-2</v>
      </c>
      <c r="D471" s="2">
        <v>8.5800000000000001E-2</v>
      </c>
      <c r="E471" s="2">
        <v>1.29</v>
      </c>
      <c r="F471" s="2">
        <v>1.1599999999999999</v>
      </c>
      <c r="G471" s="2">
        <v>0.36499999999999999</v>
      </c>
      <c r="H471" s="2">
        <v>0.112</v>
      </c>
      <c r="I471" s="2">
        <v>8.0500000000000002E-2</v>
      </c>
      <c r="J471" s="2">
        <v>0.123</v>
      </c>
      <c r="K471" s="2">
        <v>0.80900000000000005</v>
      </c>
      <c r="L471" s="2">
        <v>0.30599999999999999</v>
      </c>
      <c r="M471" s="2">
        <v>0.184</v>
      </c>
      <c r="N471" s="2">
        <v>7.6600000000000001E-2</v>
      </c>
      <c r="O471" s="5"/>
      <c r="P471" s="2">
        <v>0.10299999999999999</v>
      </c>
      <c r="Q471" s="2">
        <v>1.28</v>
      </c>
      <c r="R471" s="2">
        <v>0.379</v>
      </c>
      <c r="S471" s="5"/>
      <c r="T471" s="2">
        <v>0.128</v>
      </c>
      <c r="U471" s="2">
        <v>6.8400000000000002E-2</v>
      </c>
      <c r="V471" s="2">
        <v>4.5400000000000003E-2</v>
      </c>
      <c r="W471" s="5"/>
      <c r="X471" s="5"/>
      <c r="Y471" s="5"/>
      <c r="Z471" s="5"/>
      <c r="AA471" s="5"/>
      <c r="AB471" s="2">
        <v>0.14499999999999999</v>
      </c>
      <c r="AC471" s="2">
        <v>0.28699999999999998</v>
      </c>
      <c r="AD471" s="2">
        <v>1.03</v>
      </c>
      <c r="AE471" s="2">
        <v>0.42199999999999999</v>
      </c>
    </row>
    <row r="472" spans="1:31">
      <c r="A472" s="8" t="s">
        <v>724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>
      <c r="A473" s="8" t="s">
        <v>725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spans="1:31">
      <c r="A474" s="8" t="s">
        <v>268</v>
      </c>
      <c r="B474" s="3"/>
      <c r="C474" s="4">
        <v>1.6299999999999999E-2</v>
      </c>
      <c r="D474" s="4">
        <v>1.06E-2</v>
      </c>
      <c r="E474" s="3"/>
      <c r="F474" s="3"/>
      <c r="G474" s="3"/>
      <c r="H474" s="4">
        <v>1.01E-2</v>
      </c>
      <c r="I474" s="4">
        <v>9.5600000000000008E-3</v>
      </c>
      <c r="J474" s="4">
        <v>4.2100000000000002E-3</v>
      </c>
      <c r="K474" s="3"/>
      <c r="L474" s="4">
        <v>9.7999999999999997E-3</v>
      </c>
      <c r="M474" s="3"/>
      <c r="N474" s="3"/>
      <c r="O474" s="3"/>
      <c r="P474" s="4">
        <v>3.46E-3</v>
      </c>
      <c r="Q474" s="3"/>
      <c r="R474" s="3"/>
      <c r="S474" s="3"/>
      <c r="T474" s="4">
        <v>3.8600000000000001E-3</v>
      </c>
      <c r="U474" s="4">
        <v>2.7000000000000001E-3</v>
      </c>
      <c r="V474" s="4">
        <v>5.6800000000000002E-3</v>
      </c>
      <c r="W474" s="4">
        <v>4.1099999999999999E-3</v>
      </c>
      <c r="X474" s="4">
        <v>2.2399999999999998E-3</v>
      </c>
      <c r="Y474" s="4">
        <v>3.0400000000000002E-3</v>
      </c>
      <c r="Z474" s="3"/>
      <c r="AA474" s="4">
        <v>4.13E-3</v>
      </c>
      <c r="AB474" s="3"/>
      <c r="AC474" s="4">
        <v>8.3599999999999994E-3</v>
      </c>
      <c r="AD474" s="3"/>
      <c r="AE474" s="3"/>
    </row>
    <row r="475" spans="1:31">
      <c r="A475" s="8" t="s">
        <v>726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spans="1:31">
      <c r="A476" s="8" t="s">
        <v>727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>
      <c r="A477" s="8" t="s">
        <v>728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spans="1:31">
      <c r="A478" s="8" t="s">
        <v>269</v>
      </c>
      <c r="B478" s="4">
        <v>3.0499999999999999E-2</v>
      </c>
      <c r="C478" s="4">
        <v>1.6400000000000001E-2</v>
      </c>
      <c r="D478" s="4">
        <v>1.03E-2</v>
      </c>
      <c r="E478" s="4">
        <v>3.1800000000000002E-2</v>
      </c>
      <c r="F478" s="4">
        <v>4.6800000000000001E-2</v>
      </c>
      <c r="G478" s="4">
        <v>3.9600000000000003E-2</v>
      </c>
      <c r="H478" s="4">
        <v>2.2700000000000001E-2</v>
      </c>
      <c r="I478" s="4">
        <v>2.4799999999999999E-2</v>
      </c>
      <c r="J478" s="4">
        <v>2.76E-2</v>
      </c>
      <c r="K478" s="4">
        <v>3.8899999999999997E-2</v>
      </c>
      <c r="L478" s="4">
        <v>1.9199999999999998E-2</v>
      </c>
      <c r="M478" s="4">
        <v>3.4599999999999999E-2</v>
      </c>
      <c r="N478" s="4">
        <v>2.5600000000000001E-2</v>
      </c>
      <c r="O478" s="4">
        <v>2.0199999999999999E-2</v>
      </c>
      <c r="P478" s="4">
        <v>2.6200000000000001E-2</v>
      </c>
      <c r="Q478" s="4">
        <v>3.7100000000000001E-2</v>
      </c>
      <c r="R478" s="4">
        <v>4.2500000000000003E-2</v>
      </c>
      <c r="S478" s="4">
        <v>3.5700000000000003E-2</v>
      </c>
      <c r="T478" s="4">
        <v>5.6599999999999998E-2</v>
      </c>
      <c r="U478" s="4">
        <v>2.63E-2</v>
      </c>
      <c r="V478" s="4">
        <v>4.6100000000000002E-2</v>
      </c>
      <c r="W478" s="4">
        <v>3.4500000000000003E-2</v>
      </c>
      <c r="X478" s="4">
        <v>2.52E-2</v>
      </c>
      <c r="Y478" s="4">
        <v>3.8199999999999998E-2</v>
      </c>
      <c r="Z478" s="4">
        <v>3.7999999999999999E-2</v>
      </c>
      <c r="AA478" s="3"/>
      <c r="AB478" s="4">
        <v>2.98E-2</v>
      </c>
      <c r="AC478" s="4">
        <v>4.0300000000000002E-2</v>
      </c>
      <c r="AD478" s="4">
        <v>4.5699999999999998E-2</v>
      </c>
      <c r="AE478" s="4">
        <v>4.3400000000000001E-2</v>
      </c>
    </row>
    <row r="479" spans="1:31">
      <c r="A479" s="8" t="s">
        <v>729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spans="1:31">
      <c r="A480" s="8" t="s">
        <v>730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>
      <c r="A481" s="8" t="s">
        <v>270</v>
      </c>
      <c r="B481" s="5"/>
      <c r="C481" s="2">
        <v>7.45E-3</v>
      </c>
      <c r="D481" s="2">
        <v>4.2599999999999999E-3</v>
      </c>
      <c r="E481" s="5"/>
      <c r="F481" s="5"/>
      <c r="G481" s="5"/>
      <c r="H481" s="5"/>
      <c r="I481" s="2">
        <v>4.3600000000000002E-3</v>
      </c>
      <c r="J481" s="5"/>
      <c r="K481" s="5"/>
      <c r="L481" s="2">
        <v>5.8100000000000001E-3</v>
      </c>
      <c r="M481" s="5"/>
      <c r="N481" s="5"/>
      <c r="O481" s="5"/>
      <c r="P481" s="5"/>
      <c r="Q481" s="5"/>
      <c r="R481" s="5"/>
      <c r="S481" s="5"/>
      <c r="T481" s="5"/>
      <c r="U481" s="2">
        <v>1.7700000000000001E-3</v>
      </c>
      <c r="V481" s="5"/>
      <c r="W481" s="5"/>
      <c r="X481" s="5"/>
      <c r="Y481" s="5"/>
      <c r="Z481" s="5"/>
      <c r="AA481" s="5"/>
      <c r="AB481" s="5"/>
      <c r="AC481" s="2">
        <v>3.8500000000000001E-3</v>
      </c>
      <c r="AD481" s="5"/>
      <c r="AE481" s="5"/>
    </row>
    <row r="482" spans="1:31">
      <c r="A482" s="8" t="s">
        <v>731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>
      <c r="A483" s="8" t="s">
        <v>732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spans="1:31">
      <c r="A484" s="8" t="s">
        <v>733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>
      <c r="A485" s="8" t="s">
        <v>734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spans="1:31">
      <c r="A486" s="8" t="s">
        <v>735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>
      <c r="A487" s="8" t="s">
        <v>736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spans="1:31">
      <c r="A488" s="8" t="s">
        <v>737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>
      <c r="A489" s="8" t="s">
        <v>271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2">
        <v>1.2999999999999999E-3</v>
      </c>
      <c r="X489" s="5"/>
      <c r="Y489" s="5"/>
      <c r="Z489" s="5"/>
      <c r="AA489" s="5"/>
      <c r="AB489" s="5"/>
      <c r="AC489" s="2">
        <v>1.8699999999999999E-3</v>
      </c>
      <c r="AD489" s="5"/>
      <c r="AE489" s="5"/>
    </row>
    <row r="490" spans="1:31">
      <c r="A490" s="8" t="s">
        <v>738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>
      <c r="A491" s="8" t="s">
        <v>739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spans="1:31">
      <c r="A492" s="8" t="s">
        <v>272</v>
      </c>
      <c r="B492" s="4">
        <v>4.7E-2</v>
      </c>
      <c r="C492" s="4">
        <v>7.1400000000000005E-2</v>
      </c>
      <c r="D492" s="4">
        <v>5.4800000000000001E-2</v>
      </c>
      <c r="E492" s="4">
        <v>7.6200000000000004E-2</v>
      </c>
      <c r="F492" s="4">
        <v>8.9399999999999993E-2</v>
      </c>
      <c r="G492" s="4">
        <v>5.21E-2</v>
      </c>
      <c r="H492" s="4">
        <v>8.8499999999999995E-2</v>
      </c>
      <c r="I492" s="4">
        <v>6.6799999999999998E-2</v>
      </c>
      <c r="J492" s="4">
        <v>6.3299999999999995E-2</v>
      </c>
      <c r="K492" s="4">
        <v>7.2599999999999998E-2</v>
      </c>
      <c r="L492" s="4">
        <v>4.6699999999999998E-2</v>
      </c>
      <c r="M492" s="4">
        <v>4.9299999999999997E-2</v>
      </c>
      <c r="N492" s="4">
        <v>6.0100000000000001E-2</v>
      </c>
      <c r="O492" s="4">
        <v>3.5099999999999999E-2</v>
      </c>
      <c r="P492" s="4">
        <v>7.3899999999999993E-2</v>
      </c>
      <c r="Q492" s="4">
        <v>8.0799999999999997E-2</v>
      </c>
      <c r="R492" s="4">
        <v>7.8100000000000003E-2</v>
      </c>
      <c r="S492" s="4">
        <v>6.1899999999999997E-2</v>
      </c>
      <c r="T492" s="4">
        <v>2.18E-2</v>
      </c>
      <c r="U492" s="4">
        <v>4.1700000000000001E-2</v>
      </c>
      <c r="V492" s="4">
        <v>0.10100000000000001</v>
      </c>
      <c r="W492" s="4">
        <v>4.1599999999999998E-2</v>
      </c>
      <c r="X492" s="4">
        <v>4.6899999999999997E-2</v>
      </c>
      <c r="Y492" s="4">
        <v>6.88E-2</v>
      </c>
      <c r="Z492" s="4">
        <v>4.3200000000000002E-2</v>
      </c>
      <c r="AA492" s="4">
        <v>6.2600000000000003E-2</v>
      </c>
      <c r="AB492" s="4">
        <v>6.8199999999999997E-2</v>
      </c>
      <c r="AC492" s="4">
        <v>6.2199999999999998E-2</v>
      </c>
      <c r="AD492" s="4">
        <v>0.14000000000000001</v>
      </c>
      <c r="AE492" s="4">
        <v>8.5300000000000001E-2</v>
      </c>
    </row>
    <row r="493" spans="1:31">
      <c r="A493" s="8" t="s">
        <v>740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spans="1:31">
      <c r="A494" s="8" t="s">
        <v>273</v>
      </c>
      <c r="B494" s="4">
        <v>1.83E-2</v>
      </c>
      <c r="C494" s="4">
        <v>5.1900000000000002E-2</v>
      </c>
      <c r="D494" s="4">
        <v>9.11E-2</v>
      </c>
      <c r="E494" s="4">
        <v>0.19900000000000001</v>
      </c>
      <c r="F494" s="4">
        <v>0.36799999999999999</v>
      </c>
      <c r="G494" s="4">
        <v>6.7299999999999999E-2</v>
      </c>
      <c r="H494" s="4">
        <v>1.14E-2</v>
      </c>
      <c r="I494" s="4">
        <v>2.9100000000000001E-2</v>
      </c>
      <c r="J494" s="4">
        <v>2.7900000000000001E-2</v>
      </c>
      <c r="K494" s="4">
        <v>7.2400000000000006E-2</v>
      </c>
      <c r="L494" s="4">
        <v>2.4E-2</v>
      </c>
      <c r="M494" s="4">
        <v>1.0699999999999999E-2</v>
      </c>
      <c r="N494" s="4">
        <v>2.41E-2</v>
      </c>
      <c r="O494" s="3"/>
      <c r="P494" s="4">
        <v>2.9100000000000001E-2</v>
      </c>
      <c r="Q494" s="3"/>
      <c r="R494" s="4">
        <v>3.8899999999999997E-2</v>
      </c>
      <c r="S494" s="4">
        <v>1.4999999999999999E-2</v>
      </c>
      <c r="T494" s="4">
        <v>1.29E-2</v>
      </c>
      <c r="U494" s="4">
        <v>2.6200000000000001E-2</v>
      </c>
      <c r="V494" s="4">
        <v>2.7099999999999999E-2</v>
      </c>
      <c r="W494" s="4">
        <v>2.47E-2</v>
      </c>
      <c r="X494" s="4">
        <v>3.09E-2</v>
      </c>
      <c r="Y494" s="4">
        <v>2.4899999999999999E-2</v>
      </c>
      <c r="Z494" s="4">
        <v>3.2300000000000002E-2</v>
      </c>
      <c r="AA494" s="4">
        <v>2.1899999999999999E-2</v>
      </c>
      <c r="AB494" s="4">
        <v>2.5600000000000001E-2</v>
      </c>
      <c r="AC494" s="4">
        <v>3.1099999999999999E-2</v>
      </c>
      <c r="AD494" s="4">
        <v>5.21E-2</v>
      </c>
      <c r="AE494" s="4">
        <v>4.02E-2</v>
      </c>
    </row>
    <row r="495" spans="1:31">
      <c r="A495" s="8" t="s">
        <v>274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2">
        <v>4.8300000000000001E-3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2">
        <v>4.9899999999999996E-3</v>
      </c>
      <c r="X495" s="5"/>
      <c r="Y495" s="2">
        <v>2.8700000000000002E-3</v>
      </c>
      <c r="Z495" s="2">
        <v>2.7000000000000001E-3</v>
      </c>
      <c r="AA495" s="5"/>
      <c r="AB495" s="5"/>
      <c r="AC495" s="2">
        <v>6.3400000000000001E-3</v>
      </c>
      <c r="AD495" s="5"/>
      <c r="AE495" s="5"/>
    </row>
    <row r="496" spans="1:31">
      <c r="A496" s="8" t="s">
        <v>275</v>
      </c>
      <c r="B496" s="3"/>
      <c r="C496" s="4">
        <v>3.32E-3</v>
      </c>
      <c r="D496" s="3"/>
      <c r="E496" s="3"/>
      <c r="F496" s="3"/>
      <c r="G496" s="3"/>
      <c r="H496" s="3"/>
      <c r="I496" s="4">
        <v>1.24E-3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4">
        <v>3.5799999999999998E-3</v>
      </c>
      <c r="X496" s="3"/>
      <c r="Y496" s="3"/>
      <c r="Z496" s="3"/>
      <c r="AA496" s="3"/>
      <c r="AB496" s="3"/>
      <c r="AC496" s="4">
        <v>1.5499999999999999E-3</v>
      </c>
      <c r="AD496" s="3"/>
      <c r="AE496" s="3"/>
    </row>
    <row r="497" spans="1:31">
      <c r="A497" s="8" t="s">
        <v>276</v>
      </c>
      <c r="B497" s="2">
        <v>1.72E-2</v>
      </c>
      <c r="C497" s="2">
        <v>4.1500000000000002E-2</v>
      </c>
      <c r="D497" s="2">
        <v>5.3900000000000003E-2</v>
      </c>
      <c r="E497" s="2">
        <v>7.5600000000000001E-2</v>
      </c>
      <c r="F497" s="2">
        <v>0.13400000000000001</v>
      </c>
      <c r="G497" s="2">
        <v>5.2200000000000003E-2</v>
      </c>
      <c r="H497" s="2">
        <v>2.8500000000000001E-2</v>
      </c>
      <c r="I497" s="2">
        <v>2.63E-2</v>
      </c>
      <c r="J497" s="2">
        <v>2.3599999999999999E-2</v>
      </c>
      <c r="K497" s="2">
        <v>4.8800000000000003E-2</v>
      </c>
      <c r="L497" s="2">
        <v>2.4799999999999999E-2</v>
      </c>
      <c r="M497" s="2">
        <v>1.23E-2</v>
      </c>
      <c r="N497" s="2">
        <v>2.07E-2</v>
      </c>
      <c r="O497" s="2">
        <v>9.8200000000000006E-3</v>
      </c>
      <c r="P497" s="2">
        <v>2.8500000000000001E-2</v>
      </c>
      <c r="Q497" s="2">
        <v>2.7699999999999999E-2</v>
      </c>
      <c r="R497" s="2">
        <v>3.8300000000000001E-2</v>
      </c>
      <c r="S497" s="2">
        <v>1.8100000000000002E-2</v>
      </c>
      <c r="T497" s="2">
        <v>1.46E-2</v>
      </c>
      <c r="U497" s="2">
        <v>1.9099999999999999E-2</v>
      </c>
      <c r="V497" s="2">
        <v>2.53E-2</v>
      </c>
      <c r="W497" s="2">
        <v>2.1600000000000001E-2</v>
      </c>
      <c r="X497" s="2">
        <v>2.1899999999999999E-2</v>
      </c>
      <c r="Y497" s="2">
        <v>2.2599999999999999E-2</v>
      </c>
      <c r="Z497" s="2">
        <v>2.1600000000000001E-2</v>
      </c>
      <c r="AA497" s="2">
        <v>1.9E-2</v>
      </c>
      <c r="AB497" s="2">
        <v>1.9E-2</v>
      </c>
      <c r="AC497" s="2">
        <v>2.53E-2</v>
      </c>
      <c r="AD497" s="2">
        <v>4.7800000000000002E-2</v>
      </c>
      <c r="AE497" s="2">
        <v>3.5499999999999997E-2</v>
      </c>
    </row>
    <row r="498" spans="1:31">
      <c r="A498" s="8" t="s">
        <v>741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>
      <c r="A499" s="8" t="s">
        <v>277</v>
      </c>
      <c r="B499" s="5"/>
      <c r="C499" s="2">
        <v>4.1000000000000003E-3</v>
      </c>
      <c r="D499" s="5"/>
      <c r="E499" s="5"/>
      <c r="F499" s="5"/>
      <c r="G499" s="5"/>
      <c r="H499" s="2">
        <v>4.7999999999999996E-3</v>
      </c>
      <c r="I499" s="2">
        <v>5.1599999999999997E-3</v>
      </c>
      <c r="J499" s="2">
        <v>4.3299999999999996E-3</v>
      </c>
      <c r="K499" s="5"/>
      <c r="L499" s="2">
        <v>6.62E-3</v>
      </c>
      <c r="M499" s="5"/>
      <c r="N499" s="5"/>
      <c r="O499" s="5"/>
      <c r="P499" s="5"/>
      <c r="Q499" s="5"/>
      <c r="R499" s="5"/>
      <c r="S499" s="5"/>
      <c r="T499" s="2">
        <v>2.8300000000000001E-3</v>
      </c>
      <c r="U499" s="2">
        <v>1.34E-2</v>
      </c>
      <c r="V499" s="2">
        <v>2.2200000000000002E-3</v>
      </c>
      <c r="W499" s="2">
        <v>5.5500000000000002E-3</v>
      </c>
      <c r="X499" s="2">
        <v>1.1900000000000001E-3</v>
      </c>
      <c r="Y499" s="2">
        <v>1.42E-3</v>
      </c>
      <c r="Z499" s="5"/>
      <c r="AA499" s="2">
        <v>1.3600000000000001E-3</v>
      </c>
      <c r="AB499" s="5"/>
      <c r="AC499" s="2">
        <v>6.7099999999999998E-3</v>
      </c>
      <c r="AD499" s="5"/>
      <c r="AE499" s="5"/>
    </row>
    <row r="500" spans="1:31">
      <c r="A500" s="8" t="s">
        <v>278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">
        <v>2.7100000000000002E-3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4">
        <v>1.82E-3</v>
      </c>
      <c r="AD500" s="3"/>
      <c r="AE500" s="3"/>
    </row>
    <row r="501" spans="1:31">
      <c r="A501" s="8" t="s">
        <v>742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spans="1:31">
      <c r="A502" s="8" t="s">
        <v>279</v>
      </c>
      <c r="B502" s="3"/>
      <c r="C502" s="4">
        <v>3.3E-3</v>
      </c>
      <c r="D502" s="4">
        <v>1.8500000000000001E-3</v>
      </c>
      <c r="E502" s="3"/>
      <c r="F502" s="3"/>
      <c r="G502" s="3"/>
      <c r="H502" s="4">
        <v>1.42E-3</v>
      </c>
      <c r="I502" s="4">
        <v>1.41E-3</v>
      </c>
      <c r="J502" s="3"/>
      <c r="K502" s="3"/>
      <c r="L502" s="4">
        <v>2.3999999999999998E-3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4">
        <v>1.39E-3</v>
      </c>
      <c r="AD502" s="3"/>
      <c r="AE502" s="3"/>
    </row>
    <row r="503" spans="1:31">
      <c r="A503" s="8" t="s">
        <v>743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spans="1:31">
      <c r="A504" s="8" t="s">
        <v>280</v>
      </c>
      <c r="B504" s="4">
        <v>12.8</v>
      </c>
      <c r="C504" s="4">
        <v>2.19</v>
      </c>
      <c r="D504" s="4">
        <v>0.159</v>
      </c>
      <c r="E504" s="4">
        <v>4.54</v>
      </c>
      <c r="F504" s="4">
        <v>3.12</v>
      </c>
      <c r="G504" s="4">
        <v>4.33</v>
      </c>
      <c r="H504" s="4">
        <v>2.3199999999999998</v>
      </c>
      <c r="I504" s="4">
        <v>6.53</v>
      </c>
      <c r="J504" s="4">
        <v>2.25</v>
      </c>
      <c r="K504" s="4">
        <v>10.9</v>
      </c>
      <c r="L504" s="4">
        <v>7.3099999999999998E-2</v>
      </c>
      <c r="M504" s="4">
        <v>22.1</v>
      </c>
      <c r="N504" s="4">
        <v>9.4700000000000006</v>
      </c>
      <c r="O504" s="4">
        <v>6.31</v>
      </c>
      <c r="P504" s="4">
        <v>10.7</v>
      </c>
      <c r="Q504" s="4">
        <v>0.22800000000000001</v>
      </c>
      <c r="R504" s="4">
        <v>8.15</v>
      </c>
      <c r="S504" s="4">
        <v>18.5</v>
      </c>
      <c r="T504" s="4">
        <v>10.5</v>
      </c>
      <c r="U504" s="4">
        <v>2.72</v>
      </c>
      <c r="V504" s="4">
        <v>10.9</v>
      </c>
      <c r="W504" s="4">
        <v>15</v>
      </c>
      <c r="X504" s="4">
        <v>11.7</v>
      </c>
      <c r="Y504" s="4">
        <v>10.9</v>
      </c>
      <c r="Z504" s="4">
        <v>13.5</v>
      </c>
      <c r="AA504" s="4">
        <v>6.11</v>
      </c>
      <c r="AB504" s="4">
        <v>12.2</v>
      </c>
      <c r="AC504" s="4">
        <v>5.0599999999999999E-2</v>
      </c>
      <c r="AD504" s="4">
        <v>8.76</v>
      </c>
      <c r="AE504" s="4">
        <v>12.4</v>
      </c>
    </row>
    <row r="505" spans="1:31">
      <c r="A505" s="8" t="s">
        <v>744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spans="1:31">
      <c r="A506" s="8" t="s">
        <v>745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>
      <c r="A507" s="8" t="s">
        <v>281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2">
        <v>9.64E-2</v>
      </c>
      <c r="AE507" s="5"/>
    </row>
    <row r="508" spans="1:31">
      <c r="A508" s="8" t="s">
        <v>746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>
      <c r="A509" s="8" t="s">
        <v>747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spans="1:31">
      <c r="A510" s="8" t="s">
        <v>282</v>
      </c>
      <c r="B510" s="4">
        <v>1.9199999999999998E-2</v>
      </c>
      <c r="C510" s="3"/>
      <c r="D510" s="3"/>
      <c r="E510" s="3"/>
      <c r="F510" s="4">
        <v>1.24E-2</v>
      </c>
      <c r="G510" s="3"/>
      <c r="H510" s="3"/>
      <c r="I510" s="3"/>
      <c r="J510" s="3"/>
      <c r="K510" s="3"/>
      <c r="L510" s="3"/>
      <c r="M510" s="4">
        <v>3.1600000000000003E-2</v>
      </c>
      <c r="N510" s="4">
        <v>9.1000000000000004E-3</v>
      </c>
      <c r="O510" s="4">
        <v>1.2200000000000001E-2</v>
      </c>
      <c r="P510" s="4">
        <v>3.4000000000000002E-2</v>
      </c>
      <c r="Q510" s="4">
        <v>1.7999999999999999E-2</v>
      </c>
      <c r="R510" s="3"/>
      <c r="S510" s="4">
        <v>1.49E-2</v>
      </c>
      <c r="T510" s="4">
        <v>2.24E-2</v>
      </c>
      <c r="U510" s="4">
        <v>2.0799999999999999E-2</v>
      </c>
      <c r="V510" s="4">
        <v>9.0600000000000003E-3</v>
      </c>
      <c r="W510" s="4">
        <v>1.6199999999999999E-2</v>
      </c>
      <c r="X510" s="4">
        <v>7.4200000000000004E-3</v>
      </c>
      <c r="Y510" s="4">
        <v>9.0299999999999998E-3</v>
      </c>
      <c r="Z510" s="4">
        <v>9.0799999999999995E-3</v>
      </c>
      <c r="AA510" s="4">
        <v>8.6899999999999998E-3</v>
      </c>
      <c r="AB510" s="4">
        <v>1.8200000000000001E-2</v>
      </c>
      <c r="AC510" s="3"/>
      <c r="AD510" s="4">
        <v>1.11E-2</v>
      </c>
      <c r="AE510" s="4">
        <v>2.8899999999999999E-2</v>
      </c>
    </row>
    <row r="511" spans="1:31">
      <c r="A511" s="8" t="s">
        <v>748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2">
        <v>1.5299999999999999E-2</v>
      </c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spans="1:31">
      <c r="A512" s="8" t="s">
        <v>283</v>
      </c>
      <c r="B512" s="4">
        <v>0.127</v>
      </c>
      <c r="C512" s="4">
        <v>7.5499999999999998E-2</v>
      </c>
      <c r="D512" s="4">
        <v>4.0899999999999999E-2</v>
      </c>
      <c r="E512" s="4">
        <v>8.8800000000000004E-2</v>
      </c>
      <c r="F512" s="4">
        <v>0.223</v>
      </c>
      <c r="G512" s="4">
        <v>7.9500000000000001E-2</v>
      </c>
      <c r="H512" s="4">
        <v>6.7599999999999993E-2</v>
      </c>
      <c r="I512" s="4">
        <v>8.0500000000000002E-2</v>
      </c>
      <c r="J512" s="4">
        <v>6.9199999999999998E-2</v>
      </c>
      <c r="K512" s="4">
        <v>0.14599999999999999</v>
      </c>
      <c r="L512" s="4">
        <v>3.9699999999999999E-2</v>
      </c>
      <c r="M512" s="4">
        <v>0.14499999999999999</v>
      </c>
      <c r="N512" s="4">
        <v>0.14699999999999999</v>
      </c>
      <c r="O512" s="4">
        <v>8.4000000000000005E-2</v>
      </c>
      <c r="P512" s="4">
        <v>0.104</v>
      </c>
      <c r="Q512" s="4">
        <v>0.157</v>
      </c>
      <c r="R512" s="4">
        <v>7.9600000000000004E-2</v>
      </c>
      <c r="S512" s="4">
        <v>0.13100000000000001</v>
      </c>
      <c r="T512" s="4">
        <v>0.11700000000000001</v>
      </c>
      <c r="U512" s="4">
        <v>2.8799999999999999E-2</v>
      </c>
      <c r="V512" s="4">
        <v>8.9800000000000005E-2</v>
      </c>
      <c r="W512" s="4">
        <v>7.0199999999999999E-2</v>
      </c>
      <c r="X512" s="4">
        <v>6.9800000000000001E-2</v>
      </c>
      <c r="Y512" s="4">
        <v>5.7099999999999998E-2</v>
      </c>
      <c r="Z512" s="4">
        <v>9.5699999999999993E-2</v>
      </c>
      <c r="AA512" s="3"/>
      <c r="AB512" s="4">
        <v>0.16600000000000001</v>
      </c>
      <c r="AC512" s="4">
        <v>4.4200000000000003E-2</v>
      </c>
      <c r="AD512" s="4">
        <v>0.20300000000000001</v>
      </c>
      <c r="AE512" s="4">
        <v>0.108</v>
      </c>
    </row>
    <row r="513" spans="1:31">
      <c r="A513" s="8" t="s">
        <v>284</v>
      </c>
      <c r="B513" s="5"/>
      <c r="C513" s="2">
        <v>3.2799999999999999E-3</v>
      </c>
      <c r="D513" s="2">
        <v>1.58E-3</v>
      </c>
      <c r="E513" s="5"/>
      <c r="F513" s="5"/>
      <c r="G513" s="5"/>
      <c r="H513" s="5"/>
      <c r="I513" s="2">
        <v>1.2800000000000001E-3</v>
      </c>
      <c r="J513" s="5"/>
      <c r="K513" s="5"/>
      <c r="L513" s="2">
        <v>1.82E-3</v>
      </c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2">
        <v>1.7899999999999999E-3</v>
      </c>
      <c r="X513" s="5"/>
      <c r="Y513" s="5"/>
      <c r="Z513" s="5"/>
      <c r="AA513" s="5"/>
      <c r="AB513" s="5"/>
      <c r="AC513" s="2">
        <v>1.56E-3</v>
      </c>
      <c r="AD513" s="5"/>
      <c r="AE513" s="5"/>
    </row>
    <row r="514" spans="1:31">
      <c r="A514" s="8" t="s">
        <v>749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>
      <c r="A515" s="8" t="s">
        <v>750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spans="1:31">
      <c r="A516" s="8" t="s">
        <v>751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>
      <c r="A517" s="8" t="s">
        <v>752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spans="1:31">
      <c r="A518" s="8" t="s">
        <v>285</v>
      </c>
      <c r="B518" s="4">
        <v>0.20799999999999999</v>
      </c>
      <c r="C518" s="4">
        <v>0.54900000000000004</v>
      </c>
      <c r="D518" s="4">
        <v>0.22900000000000001</v>
      </c>
      <c r="E518" s="4">
        <v>0.17799999999999999</v>
      </c>
      <c r="F518" s="4">
        <v>0.66100000000000003</v>
      </c>
      <c r="G518" s="4">
        <v>3.4299999999999997E-2</v>
      </c>
      <c r="H518" s="4">
        <v>2.57</v>
      </c>
      <c r="I518" s="4">
        <v>1.53</v>
      </c>
      <c r="J518" s="4">
        <v>3.46</v>
      </c>
      <c r="K518" s="4">
        <v>0.60799999999999998</v>
      </c>
      <c r="L518" s="4">
        <v>2.9</v>
      </c>
      <c r="M518" s="4">
        <v>0.16900000000000001</v>
      </c>
      <c r="N518" s="4">
        <v>3.2099999999999997E-2</v>
      </c>
      <c r="O518" s="4">
        <v>0.17199999999999999</v>
      </c>
      <c r="P518" s="4">
        <v>0.28999999999999998</v>
      </c>
      <c r="Q518" s="4">
        <v>1.86</v>
      </c>
      <c r="R518" s="4">
        <v>0.39</v>
      </c>
      <c r="S518" s="4">
        <v>1.1299999999999999</v>
      </c>
      <c r="T518" s="4">
        <v>1.91</v>
      </c>
      <c r="U518" s="4">
        <v>2.58</v>
      </c>
      <c r="V518" s="4">
        <v>0.72099999999999997</v>
      </c>
      <c r="W518" s="4">
        <v>0.66400000000000003</v>
      </c>
      <c r="X518" s="4">
        <v>0.182</v>
      </c>
      <c r="Y518" s="4">
        <v>0.59399999999999997</v>
      </c>
      <c r="Z518" s="4">
        <v>0.42099999999999999</v>
      </c>
      <c r="AA518" s="3"/>
      <c r="AB518" s="4">
        <v>0.126</v>
      </c>
      <c r="AC518" s="4">
        <v>3.67</v>
      </c>
      <c r="AD518" s="4">
        <v>1.4</v>
      </c>
      <c r="AE518" s="4">
        <v>8.3000000000000004E-2</v>
      </c>
    </row>
    <row r="519" spans="1:31">
      <c r="A519" s="8" t="s">
        <v>753</v>
      </c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spans="1:31">
      <c r="A520" s="9" t="s">
        <v>140</v>
      </c>
      <c r="B520" s="3"/>
      <c r="C520" s="4">
        <v>2.4799999999999999E-2</v>
      </c>
      <c r="D520" s="4">
        <v>3.9199999999999999E-2</v>
      </c>
      <c r="E520" s="4">
        <v>1.6199999999999999E-3</v>
      </c>
      <c r="F520" s="4">
        <v>5.9300000000000004E-3</v>
      </c>
      <c r="G520" s="4">
        <v>2.3099999999999999E-2</v>
      </c>
      <c r="H520" s="4">
        <v>4.6600000000000003E-2</v>
      </c>
      <c r="I520" s="4">
        <v>3.1800000000000002E-2</v>
      </c>
      <c r="J520" s="4">
        <v>5.1799999999999999E-2</v>
      </c>
      <c r="K520" s="3"/>
      <c r="L520" s="3"/>
      <c r="M520" s="3"/>
      <c r="N520" s="3"/>
      <c r="O520" s="3"/>
      <c r="P520" s="3"/>
      <c r="Q520" s="3"/>
      <c r="R520" s="3"/>
      <c r="S520" s="3"/>
      <c r="T520" s="4">
        <v>9.2200000000000004E-2</v>
      </c>
      <c r="U520" s="4">
        <v>4.1300000000000003E-2</v>
      </c>
      <c r="V520" s="4">
        <v>3.4299999999999997E-2</v>
      </c>
      <c r="W520" s="3"/>
      <c r="X520" s="3"/>
      <c r="Y520" s="3"/>
      <c r="Z520" s="4">
        <v>2.93E-2</v>
      </c>
      <c r="AA520" s="3"/>
      <c r="AB520" s="3"/>
      <c r="AC520" s="3"/>
      <c r="AD520" s="3"/>
      <c r="AE520" s="3"/>
    </row>
    <row r="521" spans="1:31">
      <c r="A521" s="9" t="s">
        <v>754</v>
      </c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spans="1:31">
      <c r="A522" s="9" t="s">
        <v>286</v>
      </c>
      <c r="B522" s="3"/>
      <c r="C522" s="4">
        <v>5.2600000000000001E-2</v>
      </c>
      <c r="D522" s="4">
        <v>0.32400000000000001</v>
      </c>
      <c r="E522" s="3"/>
      <c r="F522" s="4">
        <v>0.124</v>
      </c>
      <c r="G522" s="4">
        <v>0.13100000000000001</v>
      </c>
      <c r="H522" s="4">
        <v>0.13800000000000001</v>
      </c>
      <c r="I522" s="4">
        <v>0.17599999999999999</v>
      </c>
      <c r="J522" s="4">
        <v>0.20799999999999999</v>
      </c>
      <c r="K522" s="4">
        <v>6.8099999999999994E-2</v>
      </c>
      <c r="L522" s="4">
        <v>0.16</v>
      </c>
      <c r="M522" s="4">
        <v>0.104</v>
      </c>
      <c r="N522" s="4">
        <v>6.1899999999999997E-2</v>
      </c>
      <c r="O522" s="3"/>
      <c r="P522" s="4">
        <v>0.13400000000000001</v>
      </c>
      <c r="Q522" s="3"/>
      <c r="R522" s="4">
        <v>8.1100000000000005E-2</v>
      </c>
      <c r="S522" s="3"/>
      <c r="T522" s="3"/>
      <c r="U522" s="4">
        <v>0.23100000000000001</v>
      </c>
      <c r="V522" s="4">
        <v>0.15</v>
      </c>
      <c r="W522" s="4">
        <v>0.18</v>
      </c>
      <c r="X522" s="3"/>
      <c r="Y522" s="4">
        <v>0.18099999999999999</v>
      </c>
      <c r="Z522" s="4">
        <v>0.23300000000000001</v>
      </c>
      <c r="AA522" s="3"/>
      <c r="AB522" s="3"/>
      <c r="AC522" s="4">
        <v>0.13700000000000001</v>
      </c>
      <c r="AD522" s="4">
        <v>0.151</v>
      </c>
      <c r="AE522" s="4">
        <v>6.6199999999999995E-2</v>
      </c>
    </row>
    <row r="523" spans="1:31">
      <c r="A523" s="9" t="s">
        <v>755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spans="1:31">
      <c r="A524" s="9" t="s">
        <v>287</v>
      </c>
      <c r="B524" s="4">
        <v>0.26100000000000001</v>
      </c>
      <c r="C524" s="4">
        <v>0.28399999999999997</v>
      </c>
      <c r="D524" s="3"/>
      <c r="E524" s="4">
        <v>2.1399999999999999E-2</v>
      </c>
      <c r="F524" s="4">
        <v>0.70099999999999996</v>
      </c>
      <c r="G524" s="4">
        <v>7.6999999999999999E-2</v>
      </c>
      <c r="H524" s="4">
        <v>0.79200000000000004</v>
      </c>
      <c r="I524" s="4">
        <v>0.76800000000000002</v>
      </c>
      <c r="J524" s="4">
        <v>0.97499999999999998</v>
      </c>
      <c r="K524" s="4">
        <v>0.41799999999999998</v>
      </c>
      <c r="L524" s="4">
        <v>0.63900000000000001</v>
      </c>
      <c r="M524" s="4">
        <v>0.20200000000000001</v>
      </c>
      <c r="N524" s="4">
        <v>4.3200000000000002E-2</v>
      </c>
      <c r="O524" s="4">
        <v>8.0699999999999994E-2</v>
      </c>
      <c r="P524" s="4">
        <v>0.33100000000000002</v>
      </c>
      <c r="Q524" s="4">
        <v>0.108</v>
      </c>
      <c r="R524" s="4">
        <v>4.8500000000000001E-2</v>
      </c>
      <c r="S524" s="4">
        <v>0.77900000000000003</v>
      </c>
      <c r="T524" s="4">
        <v>0.36699999999999999</v>
      </c>
      <c r="U524" s="4">
        <v>1.05</v>
      </c>
      <c r="V524" s="4">
        <v>0.85299999999999998</v>
      </c>
      <c r="W524" s="4">
        <v>0.66100000000000003</v>
      </c>
      <c r="X524" s="4">
        <v>0.48599999999999999</v>
      </c>
      <c r="Y524" s="4">
        <v>0.90400000000000003</v>
      </c>
      <c r="Z524" s="4">
        <v>0.69299999999999995</v>
      </c>
      <c r="AA524" s="4">
        <v>0.69899999999999995</v>
      </c>
      <c r="AB524" s="4">
        <v>0.24299999999999999</v>
      </c>
      <c r="AC524" s="4">
        <v>0.67400000000000004</v>
      </c>
      <c r="AD524" s="4">
        <v>0.51100000000000001</v>
      </c>
      <c r="AE524" s="4">
        <v>6.2700000000000006E-2</v>
      </c>
    </row>
    <row r="525" spans="1:31">
      <c r="A525" s="9" t="s">
        <v>756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spans="1:31">
      <c r="A526" s="9" t="s">
        <v>757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>
      <c r="A527" s="9" t="s">
        <v>288</v>
      </c>
      <c r="B527" s="5"/>
      <c r="C527" s="5"/>
      <c r="D527" s="5"/>
      <c r="E527" s="5"/>
      <c r="F527" s="5"/>
      <c r="G527" s="5"/>
      <c r="H527" s="2">
        <v>6.3699999999999998E-3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2">
        <v>6.9499999999999996E-3</v>
      </c>
      <c r="AB527" s="5"/>
      <c r="AC527" s="5"/>
      <c r="AD527" s="5"/>
      <c r="AE527" s="5"/>
    </row>
    <row r="528" spans="1:31">
      <c r="A528" s="9" t="s">
        <v>289</v>
      </c>
      <c r="B528" s="4">
        <v>0.109</v>
      </c>
      <c r="C528" s="4">
        <v>2.1399999999999999E-2</v>
      </c>
      <c r="D528" s="4">
        <v>1.37E-2</v>
      </c>
      <c r="E528" s="4">
        <v>0.34599999999999997</v>
      </c>
      <c r="F528" s="4">
        <v>0.104</v>
      </c>
      <c r="G528" s="4">
        <v>8.4699999999999998E-2</v>
      </c>
      <c r="H528" s="4">
        <v>3.8100000000000002E-2</v>
      </c>
      <c r="I528" s="4">
        <v>3.3099999999999997E-2</v>
      </c>
      <c r="J528" s="4">
        <v>2.9399999999999999E-2</v>
      </c>
      <c r="K528" s="4">
        <v>6.2E-2</v>
      </c>
      <c r="L528" s="4">
        <v>3.4799999999999998E-2</v>
      </c>
      <c r="M528" s="4">
        <v>0.216</v>
      </c>
      <c r="N528" s="4">
        <v>7.4300000000000005E-2</v>
      </c>
      <c r="O528" s="4">
        <v>6.7599999999999993E-2</v>
      </c>
      <c r="P528" s="4">
        <v>0.14199999999999999</v>
      </c>
      <c r="Q528" s="4">
        <v>0.11600000000000001</v>
      </c>
      <c r="R528" s="4">
        <v>7.6499999999999999E-2</v>
      </c>
      <c r="S528" s="4">
        <v>3.2099999999999997E-2</v>
      </c>
      <c r="T528" s="3"/>
      <c r="U528" s="4">
        <v>0.64600000000000002</v>
      </c>
      <c r="V528" s="4">
        <v>3.0300000000000001E-2</v>
      </c>
      <c r="W528" s="4">
        <v>1.83E-2</v>
      </c>
      <c r="X528" s="4">
        <v>1.7299999999999999E-2</v>
      </c>
      <c r="Y528" s="4">
        <v>3.5999999999999997E-2</v>
      </c>
      <c r="Z528" s="4">
        <v>3.4099999999999998E-2</v>
      </c>
      <c r="AA528" s="4">
        <v>5.0700000000000002E-2</v>
      </c>
      <c r="AB528" s="4">
        <v>0.315</v>
      </c>
      <c r="AC528" s="4">
        <v>2.4799999999999999E-2</v>
      </c>
      <c r="AD528" s="4">
        <v>7.51E-2</v>
      </c>
      <c r="AE528" s="4">
        <v>3.2199999999999999E-2</v>
      </c>
    </row>
    <row r="529" spans="1:31">
      <c r="A529" s="9" t="s">
        <v>290</v>
      </c>
      <c r="B529" s="2">
        <v>0.114</v>
      </c>
      <c r="C529" s="2">
        <v>9.5500000000000002E-2</v>
      </c>
      <c r="D529" s="2">
        <v>8.6199999999999999E-2</v>
      </c>
      <c r="E529" s="2">
        <v>0.13400000000000001</v>
      </c>
      <c r="F529" s="2">
        <v>0.214</v>
      </c>
      <c r="G529" s="2">
        <v>0.39800000000000002</v>
      </c>
      <c r="H529" s="2">
        <v>0.16700000000000001</v>
      </c>
      <c r="I529" s="2">
        <v>0.14299999999999999</v>
      </c>
      <c r="J529" s="2">
        <v>0.17699999999999999</v>
      </c>
      <c r="K529" s="2">
        <v>0.105</v>
      </c>
      <c r="L529" s="2">
        <v>0.11</v>
      </c>
      <c r="M529" s="2">
        <v>0.13100000000000001</v>
      </c>
      <c r="N529" s="2">
        <v>7.6899999999999996E-2</v>
      </c>
      <c r="O529" s="2">
        <v>7.5999999999999998E-2</v>
      </c>
      <c r="P529" s="2">
        <v>0.161</v>
      </c>
      <c r="Q529" s="2">
        <v>9.9599999999999994E-2</v>
      </c>
      <c r="R529" s="2">
        <v>0.27100000000000002</v>
      </c>
      <c r="S529" s="2">
        <v>0.1</v>
      </c>
      <c r="T529" s="2">
        <v>0.50800000000000001</v>
      </c>
      <c r="U529" s="2">
        <v>0.247</v>
      </c>
      <c r="V529" s="2">
        <v>0.17199999999999999</v>
      </c>
      <c r="W529" s="2">
        <v>0.14199999999999999</v>
      </c>
      <c r="X529" s="2">
        <v>0.104</v>
      </c>
      <c r="Y529" s="2">
        <v>0.13200000000000001</v>
      </c>
      <c r="Z529" s="2">
        <v>0.126</v>
      </c>
      <c r="AA529" s="5"/>
      <c r="AB529" s="2">
        <v>0.186</v>
      </c>
      <c r="AC529" s="2">
        <v>0.13800000000000001</v>
      </c>
      <c r="AD529" s="2">
        <v>0.122</v>
      </c>
      <c r="AE529" s="5"/>
    </row>
    <row r="530" spans="1:31">
      <c r="A530" s="9" t="s">
        <v>291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4">
        <v>6.4899999999999999E-2</v>
      </c>
    </row>
    <row r="531" spans="1:31">
      <c r="A531" s="9" t="s">
        <v>292</v>
      </c>
      <c r="B531" s="2">
        <v>0.19600000000000001</v>
      </c>
      <c r="C531" s="2">
        <v>8.9099999999999999E-2</v>
      </c>
      <c r="D531" s="2">
        <v>0.108</v>
      </c>
      <c r="E531" s="2">
        <v>0.27100000000000002</v>
      </c>
      <c r="F531" s="2">
        <v>0.218</v>
      </c>
      <c r="G531" s="2">
        <v>0.161</v>
      </c>
      <c r="H531" s="2">
        <v>0.155</v>
      </c>
      <c r="I531" s="2">
        <v>0.123</v>
      </c>
      <c r="J531" s="2">
        <v>0.13400000000000001</v>
      </c>
      <c r="K531" s="2">
        <v>0.13600000000000001</v>
      </c>
      <c r="L531" s="2">
        <v>0.123</v>
      </c>
      <c r="M531" s="2">
        <v>0.35399999999999998</v>
      </c>
      <c r="N531" s="2">
        <v>0.13300000000000001</v>
      </c>
      <c r="O531" s="2">
        <v>0.14399999999999999</v>
      </c>
      <c r="P531" s="2">
        <v>0.28899999999999998</v>
      </c>
      <c r="Q531" s="2">
        <v>0.32400000000000001</v>
      </c>
      <c r="R531" s="2">
        <v>0.14799999999999999</v>
      </c>
      <c r="S531" s="2">
        <v>0.123</v>
      </c>
      <c r="T531" s="2">
        <v>0.12</v>
      </c>
      <c r="U531" s="2">
        <v>0.504</v>
      </c>
      <c r="V531" s="2">
        <v>0.14599999999999999</v>
      </c>
      <c r="W531" s="2">
        <v>9.5699999999999993E-2</v>
      </c>
      <c r="X531" s="2">
        <v>9.3899999999999997E-2</v>
      </c>
      <c r="Y531" s="2">
        <v>0.108</v>
      </c>
      <c r="Z531" s="2">
        <v>0.11</v>
      </c>
      <c r="AA531" s="2">
        <v>0.124</v>
      </c>
      <c r="AB531" s="2">
        <v>0.45500000000000002</v>
      </c>
      <c r="AC531" s="2">
        <v>0.129</v>
      </c>
      <c r="AD531" s="2">
        <v>0.153</v>
      </c>
      <c r="AE531" s="2">
        <v>7.46E-2</v>
      </c>
    </row>
    <row r="532" spans="1:31">
      <c r="A532" s="9" t="s">
        <v>293</v>
      </c>
      <c r="B532" s="4">
        <v>8.2100000000000003E-3</v>
      </c>
      <c r="C532" s="4">
        <v>7.7400000000000004E-3</v>
      </c>
      <c r="D532" s="4">
        <v>9.0500000000000008E-3</v>
      </c>
      <c r="E532" s="4">
        <v>1.9300000000000001E-3</v>
      </c>
      <c r="F532" s="4">
        <v>3.5400000000000002E-3</v>
      </c>
      <c r="G532" s="4">
        <v>2.2399999999999998E-3</v>
      </c>
      <c r="H532" s="4">
        <v>9.2099999999999994E-3</v>
      </c>
      <c r="I532" s="4">
        <v>8.3000000000000001E-3</v>
      </c>
      <c r="J532" s="4">
        <v>1.09E-2</v>
      </c>
      <c r="K532" s="4">
        <v>7.2300000000000003E-3</v>
      </c>
      <c r="L532" s="4">
        <v>1.11E-2</v>
      </c>
      <c r="M532" s="4">
        <v>7.9900000000000006E-3</v>
      </c>
      <c r="N532" s="4">
        <v>4.8999999999999998E-3</v>
      </c>
      <c r="O532" s="3"/>
      <c r="P532" s="4">
        <v>4.4600000000000004E-3</v>
      </c>
      <c r="Q532" s="4">
        <v>3.9500000000000004E-3</v>
      </c>
      <c r="R532" s="4">
        <v>3.5400000000000002E-3</v>
      </c>
      <c r="S532" s="4">
        <v>8.3999999999999995E-3</v>
      </c>
      <c r="T532" s="4">
        <v>1.2999999999999999E-2</v>
      </c>
      <c r="U532" s="4">
        <v>5.7499999999999999E-3</v>
      </c>
      <c r="V532" s="4">
        <v>9.2399999999999999E-3</v>
      </c>
      <c r="W532" s="4">
        <v>7.7099999999999998E-3</v>
      </c>
      <c r="X532" s="4">
        <v>6.43E-3</v>
      </c>
      <c r="Y532" s="4">
        <v>7.7499999999999999E-3</v>
      </c>
      <c r="Z532" s="4">
        <v>7.5300000000000002E-3</v>
      </c>
      <c r="AA532" s="4">
        <v>5.5900000000000004E-3</v>
      </c>
      <c r="AB532" s="4">
        <v>7.8499999999999993E-3</v>
      </c>
      <c r="AC532" s="4">
        <v>8.5000000000000006E-3</v>
      </c>
      <c r="AD532" s="4">
        <v>5.5199999999999997E-3</v>
      </c>
      <c r="AE532" s="4">
        <v>2.2300000000000002E-3</v>
      </c>
    </row>
    <row r="533" spans="1:31">
      <c r="A533" s="9" t="s">
        <v>294</v>
      </c>
      <c r="B533" s="5"/>
      <c r="C533" s="2">
        <v>1.17E-2</v>
      </c>
      <c r="D533" s="2">
        <v>1.4500000000000001E-2</v>
      </c>
      <c r="E533" s="5"/>
      <c r="F533" s="2">
        <v>1.6199999999999999E-2</v>
      </c>
      <c r="G533" s="5"/>
      <c r="H533" s="2">
        <v>1.66E-2</v>
      </c>
      <c r="I533" s="2">
        <v>1.26E-2</v>
      </c>
      <c r="J533" s="2">
        <v>1.1599999999999999E-2</v>
      </c>
      <c r="K533" s="2">
        <v>3.7299999999999998E-3</v>
      </c>
      <c r="L533" s="2">
        <v>1.03E-2</v>
      </c>
      <c r="M533" s="5"/>
      <c r="N533" s="5"/>
      <c r="O533" s="5"/>
      <c r="P533" s="5"/>
      <c r="Q533" s="5"/>
      <c r="R533" s="5"/>
      <c r="S533" s="2">
        <v>1.5100000000000001E-2</v>
      </c>
      <c r="T533" s="5"/>
      <c r="U533" s="2">
        <v>9.7800000000000005E-3</v>
      </c>
      <c r="V533" s="2">
        <v>1.0200000000000001E-2</v>
      </c>
      <c r="W533" s="2">
        <v>6.1999999999999998E-3</v>
      </c>
      <c r="X533" s="2">
        <v>7.77E-3</v>
      </c>
      <c r="Y533" s="2">
        <v>1.38E-2</v>
      </c>
      <c r="Z533" s="2">
        <v>7.6600000000000001E-3</v>
      </c>
      <c r="AA533" s="2">
        <v>1.2200000000000001E-2</v>
      </c>
      <c r="AB533" s="5"/>
      <c r="AC533" s="2">
        <v>1.4500000000000001E-2</v>
      </c>
      <c r="AD533" s="2">
        <v>4.7400000000000003E-3</v>
      </c>
      <c r="AE533" s="2">
        <v>1.15E-3</v>
      </c>
    </row>
    <row r="534" spans="1:31">
      <c r="A534" s="9" t="s">
        <v>295</v>
      </c>
      <c r="B534" s="3"/>
      <c r="C534" s="3"/>
      <c r="D534" s="3"/>
      <c r="E534" s="4">
        <v>1.43E-2</v>
      </c>
      <c r="F534" s="4">
        <v>1.43E-2</v>
      </c>
      <c r="G534" s="4">
        <v>1.7500000000000002E-2</v>
      </c>
      <c r="H534" s="3"/>
      <c r="I534" s="4">
        <v>5.2900000000000003E-2</v>
      </c>
      <c r="J534" s="3"/>
      <c r="K534" s="4">
        <v>3.1099999999999999E-2</v>
      </c>
      <c r="L534" s="3"/>
      <c r="M534" s="3"/>
      <c r="N534" s="3"/>
      <c r="O534" s="3"/>
      <c r="P534" s="3"/>
      <c r="Q534" s="3"/>
      <c r="R534" s="4">
        <v>1.8700000000000001E-2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4">
        <v>2.7E-2</v>
      </c>
      <c r="AE534" s="4">
        <v>1.7000000000000001E-2</v>
      </c>
    </row>
    <row r="535" spans="1:31">
      <c r="A535" s="9" t="s">
        <v>296</v>
      </c>
      <c r="B535" s="2">
        <v>0.55100000000000005</v>
      </c>
      <c r="C535" s="2">
        <v>0.61199999999999999</v>
      </c>
      <c r="D535" s="2">
        <v>0.70899999999999996</v>
      </c>
      <c r="E535" s="2">
        <v>0.41799999999999998</v>
      </c>
      <c r="F535" s="2">
        <v>0.998</v>
      </c>
      <c r="G535" s="2">
        <v>0.51200000000000001</v>
      </c>
      <c r="H535" s="2">
        <v>1.06</v>
      </c>
      <c r="I535" s="2">
        <v>0.71599999999999997</v>
      </c>
      <c r="J535" s="2">
        <v>0.76200000000000001</v>
      </c>
      <c r="K535" s="2">
        <v>0.38</v>
      </c>
      <c r="L535" s="2">
        <v>0.54300000000000004</v>
      </c>
      <c r="M535" s="2">
        <v>0.65200000000000002</v>
      </c>
      <c r="N535" s="2">
        <v>0.36699999999999999</v>
      </c>
      <c r="O535" s="2">
        <v>0.33400000000000002</v>
      </c>
      <c r="P535" s="2">
        <v>0.74099999999999999</v>
      </c>
      <c r="Q535" s="2">
        <v>0.39200000000000002</v>
      </c>
      <c r="R535" s="2">
        <v>0.40100000000000002</v>
      </c>
      <c r="S535" s="2">
        <v>0.64100000000000001</v>
      </c>
      <c r="T535" s="2">
        <v>0.22</v>
      </c>
      <c r="U535" s="2">
        <v>0.51800000000000002</v>
      </c>
      <c r="V535" s="2">
        <v>0.78400000000000003</v>
      </c>
      <c r="W535" s="2">
        <v>0.39300000000000002</v>
      </c>
      <c r="X535" s="2">
        <v>0.52100000000000002</v>
      </c>
      <c r="Y535" s="2">
        <v>0.67</v>
      </c>
      <c r="Z535" s="2">
        <v>0.67400000000000004</v>
      </c>
      <c r="AA535" s="2">
        <v>0.65300000000000002</v>
      </c>
      <c r="AB535" s="2">
        <v>0.70399999999999996</v>
      </c>
      <c r="AC535" s="2">
        <v>0.7</v>
      </c>
      <c r="AD535" s="2">
        <v>0.54300000000000004</v>
      </c>
      <c r="AE535" s="2">
        <v>0.253</v>
      </c>
    </row>
    <row r="536" spans="1:31">
      <c r="A536" s="9" t="s">
        <v>297</v>
      </c>
      <c r="B536" s="4">
        <v>8.2699999999999996E-2</v>
      </c>
      <c r="C536" s="4">
        <v>9.64E-2</v>
      </c>
      <c r="D536" s="4">
        <v>0.11700000000000001</v>
      </c>
      <c r="E536" s="4">
        <v>6.6400000000000001E-2</v>
      </c>
      <c r="F536" s="4">
        <v>0.17599999999999999</v>
      </c>
      <c r="G536" s="4">
        <v>9.9400000000000002E-2</v>
      </c>
      <c r="H536" s="4">
        <v>0.158</v>
      </c>
      <c r="I536" s="4">
        <v>0.104</v>
      </c>
      <c r="J536" s="4">
        <v>0.128</v>
      </c>
      <c r="K536" s="4">
        <v>6.6699999999999995E-2</v>
      </c>
      <c r="L536" s="4">
        <v>8.6900000000000005E-2</v>
      </c>
      <c r="M536" s="4">
        <v>0.11700000000000001</v>
      </c>
      <c r="N536" s="4">
        <v>5.8700000000000002E-2</v>
      </c>
      <c r="O536" s="4">
        <v>5.6399999999999999E-2</v>
      </c>
      <c r="P536" s="4">
        <v>0.127</v>
      </c>
      <c r="Q536" s="4">
        <v>6.3100000000000003E-2</v>
      </c>
      <c r="R536" s="4">
        <v>6.9599999999999995E-2</v>
      </c>
      <c r="S536" s="4">
        <v>9.8299999999999998E-2</v>
      </c>
      <c r="T536" s="4">
        <v>5.1400000000000001E-2</v>
      </c>
      <c r="U536" s="4">
        <v>8.2799999999999999E-2</v>
      </c>
      <c r="V536" s="4">
        <v>0.121</v>
      </c>
      <c r="W536" s="4">
        <v>6.4000000000000001E-2</v>
      </c>
      <c r="X536" s="4">
        <v>7.1800000000000003E-2</v>
      </c>
      <c r="Y536" s="4">
        <v>9.7199999999999995E-2</v>
      </c>
      <c r="Z536" s="4">
        <v>8.3599999999999994E-2</v>
      </c>
      <c r="AA536" s="4">
        <v>0.13300000000000001</v>
      </c>
      <c r="AB536" s="4">
        <v>0.11600000000000001</v>
      </c>
      <c r="AC536" s="4">
        <v>0.113</v>
      </c>
      <c r="AD536" s="4">
        <v>8.4699999999999998E-2</v>
      </c>
      <c r="AE536" s="4">
        <v>4.7699999999999999E-2</v>
      </c>
    </row>
    <row r="537" spans="1:31">
      <c r="A537" s="9" t="s">
        <v>298</v>
      </c>
      <c r="B537" s="2">
        <v>4.2000000000000003E-2</v>
      </c>
      <c r="C537" s="2">
        <v>5.9400000000000001E-2</v>
      </c>
      <c r="D537" s="2">
        <v>6.2600000000000003E-2</v>
      </c>
      <c r="E537" s="2">
        <v>5.5399999999999998E-2</v>
      </c>
      <c r="F537" s="2">
        <v>0.15</v>
      </c>
      <c r="G537" s="2">
        <v>6.8199999999999997E-2</v>
      </c>
      <c r="H537" s="2">
        <v>9.8799999999999999E-2</v>
      </c>
      <c r="I537" s="2">
        <v>7.3400000000000007E-2</v>
      </c>
      <c r="J537" s="2">
        <v>7.0499999999999993E-2</v>
      </c>
      <c r="K537" s="2">
        <v>3.6900000000000002E-2</v>
      </c>
      <c r="L537" s="2">
        <v>5.3400000000000003E-2</v>
      </c>
      <c r="M537" s="2">
        <v>4.6699999999999998E-2</v>
      </c>
      <c r="N537" s="2">
        <v>5.57E-2</v>
      </c>
      <c r="O537" s="2">
        <v>3.7199999999999997E-2</v>
      </c>
      <c r="P537" s="2">
        <v>6.9500000000000006E-2</v>
      </c>
      <c r="Q537" s="2">
        <v>4.5900000000000003E-2</v>
      </c>
      <c r="R537" s="2">
        <v>4.2700000000000002E-2</v>
      </c>
      <c r="S537" s="2">
        <v>7.6100000000000001E-2</v>
      </c>
      <c r="T537" s="2">
        <v>2.01E-2</v>
      </c>
      <c r="U537" s="2">
        <v>5.8999999999999997E-2</v>
      </c>
      <c r="V537" s="2">
        <v>6.4199999999999993E-2</v>
      </c>
      <c r="W537" s="2">
        <v>2.9700000000000001E-2</v>
      </c>
      <c r="X537" s="2">
        <v>3.8899999999999997E-2</v>
      </c>
      <c r="Y537" s="2">
        <v>5.1799999999999999E-2</v>
      </c>
      <c r="Z537" s="2">
        <v>5.11E-2</v>
      </c>
      <c r="AA537" s="2">
        <v>7.22E-2</v>
      </c>
      <c r="AB537" s="2">
        <v>7.9100000000000004E-2</v>
      </c>
      <c r="AC537" s="2">
        <v>7.0199999999999999E-2</v>
      </c>
      <c r="AD537" s="2">
        <v>5.5899999999999998E-2</v>
      </c>
      <c r="AE537" s="2">
        <v>3.2300000000000002E-2</v>
      </c>
    </row>
    <row r="538" spans="1:31">
      <c r="A538" s="9" t="s">
        <v>758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>
      <c r="A539" s="9" t="s">
        <v>299</v>
      </c>
      <c r="B539" s="5"/>
      <c r="C539" s="2">
        <v>7.6700000000000004E-2</v>
      </c>
      <c r="D539" s="5"/>
      <c r="E539" s="5"/>
      <c r="F539" s="5"/>
      <c r="G539" s="5"/>
      <c r="H539" s="2">
        <v>0.13500000000000001</v>
      </c>
      <c r="I539" s="2">
        <v>7.4300000000000005E-2</v>
      </c>
      <c r="J539" s="2">
        <v>0.109</v>
      </c>
      <c r="K539" s="5"/>
      <c r="L539" s="2">
        <v>7.0099999999999996E-2</v>
      </c>
      <c r="M539" s="5"/>
      <c r="N539" s="5"/>
      <c r="O539" s="5"/>
      <c r="P539" s="5"/>
      <c r="Q539" s="5"/>
      <c r="R539" s="5"/>
      <c r="S539" s="5"/>
      <c r="T539" s="2">
        <v>6.4100000000000004E-2</v>
      </c>
      <c r="U539" s="2">
        <v>9.7100000000000006E-2</v>
      </c>
      <c r="V539" s="2">
        <v>0.11799999999999999</v>
      </c>
      <c r="W539" s="5"/>
      <c r="X539" s="5"/>
      <c r="Y539" s="5"/>
      <c r="Z539" s="5"/>
      <c r="AA539" s="5"/>
      <c r="AB539" s="5"/>
      <c r="AC539" s="2">
        <v>0.26700000000000002</v>
      </c>
      <c r="AD539" s="5"/>
      <c r="AE539" s="5"/>
    </row>
    <row r="540" spans="1:31">
      <c r="A540" s="9" t="s">
        <v>300</v>
      </c>
      <c r="B540" s="4">
        <v>0.23699999999999999</v>
      </c>
      <c r="C540" s="4">
        <v>4.9700000000000001E-2</v>
      </c>
      <c r="D540" s="4">
        <v>1.2E-2</v>
      </c>
      <c r="E540" s="4">
        <v>5.9900000000000002E-2</v>
      </c>
      <c r="F540" s="4">
        <v>3.3399999999999999E-2</v>
      </c>
      <c r="G540" s="4">
        <v>8.8200000000000001E-2</v>
      </c>
      <c r="H540" s="4">
        <v>6.6400000000000001E-2</v>
      </c>
      <c r="I540" s="4">
        <v>0.23</v>
      </c>
      <c r="J540" s="4">
        <v>8.43E-3</v>
      </c>
      <c r="K540" s="4">
        <v>0.14899999999999999</v>
      </c>
      <c r="L540" s="4">
        <v>6.0200000000000002E-3</v>
      </c>
      <c r="M540" s="4">
        <v>0.83699999999999997</v>
      </c>
      <c r="N540" s="4">
        <v>0.13200000000000001</v>
      </c>
      <c r="O540" s="4">
        <v>0.14899999999999999</v>
      </c>
      <c r="P540" s="4">
        <v>0.59399999999999997</v>
      </c>
      <c r="Q540" s="3"/>
      <c r="R540" s="4">
        <v>1.61E-2</v>
      </c>
      <c r="S540" s="4">
        <v>0.41</v>
      </c>
      <c r="T540" s="4">
        <v>0.254</v>
      </c>
      <c r="U540" s="4">
        <v>0.36299999999999999</v>
      </c>
      <c r="V540" s="4">
        <v>0.58499999999999996</v>
      </c>
      <c r="W540" s="4">
        <v>0.245</v>
      </c>
      <c r="X540" s="4">
        <v>0.23499999999999999</v>
      </c>
      <c r="Y540" s="4">
        <v>0.55000000000000004</v>
      </c>
      <c r="Z540" s="4">
        <v>0.46300000000000002</v>
      </c>
      <c r="AA540" s="4">
        <v>0.23400000000000001</v>
      </c>
      <c r="AB540" s="4">
        <v>0.93400000000000005</v>
      </c>
      <c r="AC540" s="4">
        <v>1.2200000000000001E-2</v>
      </c>
      <c r="AD540" s="4">
        <v>8.9300000000000004E-2</v>
      </c>
      <c r="AE540" s="4">
        <v>5.5399999999999998E-2</v>
      </c>
    </row>
    <row r="541" spans="1:31">
      <c r="A541" s="9" t="s">
        <v>301</v>
      </c>
      <c r="B541" s="2">
        <v>2.2599999999999999E-2</v>
      </c>
      <c r="C541" s="2">
        <v>2.3E-2</v>
      </c>
      <c r="D541" s="2">
        <v>2.4799999999999999E-2</v>
      </c>
      <c r="E541" s="2">
        <v>1.5800000000000002E-2</v>
      </c>
      <c r="F541" s="2">
        <v>4.99E-2</v>
      </c>
      <c r="G541" s="2">
        <v>2.9899999999999999E-2</v>
      </c>
      <c r="H541" s="2">
        <v>4.48E-2</v>
      </c>
      <c r="I541" s="2">
        <v>3.7400000000000003E-2</v>
      </c>
      <c r="J541" s="2">
        <v>4.2999999999999997E-2</v>
      </c>
      <c r="K541" s="2">
        <v>2.4299999999999999E-2</v>
      </c>
      <c r="L541" s="2">
        <v>2.9899999999999999E-2</v>
      </c>
      <c r="M541" s="2">
        <v>2.1000000000000001E-2</v>
      </c>
      <c r="N541" s="2">
        <v>1.18E-2</v>
      </c>
      <c r="O541" s="2">
        <v>1.21E-2</v>
      </c>
      <c r="P541" s="2">
        <v>3.04E-2</v>
      </c>
      <c r="Q541" s="2">
        <v>2.1100000000000001E-2</v>
      </c>
      <c r="R541" s="2">
        <v>1.7999999999999999E-2</v>
      </c>
      <c r="S541" s="2">
        <v>2.9600000000000001E-2</v>
      </c>
      <c r="T541" s="2">
        <v>1.5699999999999999E-2</v>
      </c>
      <c r="U541" s="2">
        <v>4.82E-2</v>
      </c>
      <c r="V541" s="2">
        <v>4.4900000000000002E-2</v>
      </c>
      <c r="W541" s="2">
        <v>2.93E-2</v>
      </c>
      <c r="X541" s="2">
        <v>3.1099999999999999E-2</v>
      </c>
      <c r="Y541" s="2">
        <v>4.0599999999999997E-2</v>
      </c>
      <c r="Z541" s="2">
        <v>3.8600000000000002E-2</v>
      </c>
      <c r="AA541" s="2">
        <v>3.73E-2</v>
      </c>
      <c r="AB541" s="2">
        <v>2.9000000000000001E-2</v>
      </c>
      <c r="AC541" s="2">
        <v>3.5999999999999997E-2</v>
      </c>
      <c r="AD541" s="2">
        <v>2.9700000000000001E-2</v>
      </c>
      <c r="AE541" s="2">
        <v>1.29E-2</v>
      </c>
    </row>
    <row r="542" spans="1:31">
      <c r="A542" s="9" t="s">
        <v>302</v>
      </c>
      <c r="B542" s="4">
        <v>1.1100000000000001</v>
      </c>
      <c r="C542" s="4">
        <v>2.8400000000000002E-2</v>
      </c>
      <c r="D542" s="4">
        <v>4.0800000000000003E-2</v>
      </c>
      <c r="E542" s="4">
        <v>0.60599999999999998</v>
      </c>
      <c r="F542" s="4">
        <v>1.34</v>
      </c>
      <c r="G542" s="4">
        <v>0.68100000000000005</v>
      </c>
      <c r="H542" s="4">
        <v>6.4299999999999996E-2</v>
      </c>
      <c r="I542" s="4">
        <v>5.9299999999999999E-2</v>
      </c>
      <c r="J542" s="4">
        <v>6.7199999999999996E-2</v>
      </c>
      <c r="K542" s="4">
        <v>0.88400000000000001</v>
      </c>
      <c r="L542" s="4">
        <v>4.41E-2</v>
      </c>
      <c r="M542" s="4">
        <v>1.18</v>
      </c>
      <c r="N542" s="4">
        <v>0.42299999999999999</v>
      </c>
      <c r="O542" s="4">
        <v>0.67800000000000005</v>
      </c>
      <c r="P542" s="4">
        <v>1.43</v>
      </c>
      <c r="Q542" s="4">
        <v>0.52400000000000002</v>
      </c>
      <c r="R542" s="4">
        <v>0.371</v>
      </c>
      <c r="S542" s="4">
        <v>0.09</v>
      </c>
      <c r="T542" s="4">
        <v>3.0099999999999998E-2</v>
      </c>
      <c r="U542" s="4">
        <v>0.13800000000000001</v>
      </c>
      <c r="V542" s="4">
        <v>0.13500000000000001</v>
      </c>
      <c r="W542" s="4">
        <v>6.2100000000000002E-2</v>
      </c>
      <c r="X542" s="4">
        <v>0.11700000000000001</v>
      </c>
      <c r="Y542" s="4">
        <v>0.127</v>
      </c>
      <c r="Z542" s="4">
        <v>0.14000000000000001</v>
      </c>
      <c r="AA542" s="4">
        <v>7.8E-2</v>
      </c>
      <c r="AB542" s="4">
        <v>1.54</v>
      </c>
      <c r="AC542" s="4">
        <v>5.45E-2</v>
      </c>
      <c r="AD542" s="4">
        <v>0.98099999999999998</v>
      </c>
      <c r="AE542" s="4">
        <v>0.27300000000000002</v>
      </c>
    </row>
    <row r="543" spans="1:31">
      <c r="A543" s="9" t="s">
        <v>303</v>
      </c>
      <c r="B543" s="2">
        <v>0.24</v>
      </c>
      <c r="C543" s="2">
        <v>9.5000000000000001E-2</v>
      </c>
      <c r="D543" s="2">
        <v>7.4399999999999994E-2</v>
      </c>
      <c r="E543" s="2">
        <v>0.14299999999999999</v>
      </c>
      <c r="F543" s="2">
        <v>0.34</v>
      </c>
      <c r="G543" s="2">
        <v>0.24</v>
      </c>
      <c r="H543" s="2">
        <v>0.17899999999999999</v>
      </c>
      <c r="I543" s="2">
        <v>0.17</v>
      </c>
      <c r="J543" s="2">
        <v>0.216</v>
      </c>
      <c r="K543" s="2">
        <v>0.20799999999999999</v>
      </c>
      <c r="L543" s="2">
        <v>0.10100000000000001</v>
      </c>
      <c r="M543" s="2">
        <v>0.249</v>
      </c>
      <c r="N543" s="2">
        <v>9.7900000000000001E-2</v>
      </c>
      <c r="O543" s="2">
        <v>0.14399999999999999</v>
      </c>
      <c r="P543" s="2">
        <v>0.34100000000000003</v>
      </c>
      <c r="Q543" s="2">
        <v>0.18099999999999999</v>
      </c>
      <c r="R543" s="2">
        <v>0.13500000000000001</v>
      </c>
      <c r="S543" s="2">
        <v>0.122</v>
      </c>
      <c r="T543" s="2">
        <v>9.8400000000000001E-2</v>
      </c>
      <c r="U543" s="2">
        <v>0.20100000000000001</v>
      </c>
      <c r="V543" s="2">
        <v>0.16300000000000001</v>
      </c>
      <c r="W543" s="2">
        <v>0.13</v>
      </c>
      <c r="X543" s="2">
        <v>9.1499999999999998E-2</v>
      </c>
      <c r="Y543" s="2">
        <v>0.13800000000000001</v>
      </c>
      <c r="Z543" s="2">
        <v>0.13300000000000001</v>
      </c>
      <c r="AA543" s="2">
        <v>0.115</v>
      </c>
      <c r="AB543" s="2">
        <v>0.34</v>
      </c>
      <c r="AC543" s="2">
        <v>0.14399999999999999</v>
      </c>
      <c r="AD543" s="2">
        <v>0.25</v>
      </c>
      <c r="AE543" s="2">
        <v>8.72E-2</v>
      </c>
    </row>
    <row r="544" spans="1:31">
      <c r="A544" s="9" t="s">
        <v>304</v>
      </c>
      <c r="B544" s="4">
        <v>1.69</v>
      </c>
      <c r="C544" s="4">
        <v>0.23</v>
      </c>
      <c r="D544" s="4">
        <v>0.224</v>
      </c>
      <c r="E544" s="4">
        <v>0.78700000000000003</v>
      </c>
      <c r="F544" s="4">
        <v>0.95299999999999996</v>
      </c>
      <c r="G544" s="4">
        <v>1.42</v>
      </c>
      <c r="H544" s="4">
        <v>0.51800000000000002</v>
      </c>
      <c r="I544" s="4">
        <v>0.497</v>
      </c>
      <c r="J544" s="4">
        <v>0.61499999999999999</v>
      </c>
      <c r="K544" s="4">
        <v>0.84399999999999997</v>
      </c>
      <c r="L544" s="4">
        <v>0.27700000000000002</v>
      </c>
      <c r="M544" s="4">
        <v>2.11</v>
      </c>
      <c r="N544" s="4">
        <v>0.77200000000000002</v>
      </c>
      <c r="O544" s="4">
        <v>1</v>
      </c>
      <c r="P544" s="4">
        <v>2.14</v>
      </c>
      <c r="Q544" s="4">
        <v>1.38</v>
      </c>
      <c r="R544" s="4">
        <v>0.98699999999999999</v>
      </c>
      <c r="S544" s="4">
        <v>0.41299999999999998</v>
      </c>
      <c r="T544" s="4">
        <v>0.26</v>
      </c>
      <c r="U544" s="4">
        <v>0.70299999999999996</v>
      </c>
      <c r="V544" s="4">
        <v>0.64400000000000002</v>
      </c>
      <c r="W544" s="4">
        <v>0.40600000000000003</v>
      </c>
      <c r="X544" s="4">
        <v>0.34399999999999997</v>
      </c>
      <c r="Y544" s="4">
        <v>0.54300000000000004</v>
      </c>
      <c r="Z544" s="4">
        <v>0.47599999999999998</v>
      </c>
      <c r="AA544" s="4">
        <v>0.44400000000000001</v>
      </c>
      <c r="AB544" s="4">
        <v>2.4900000000000002</v>
      </c>
      <c r="AC544" s="4">
        <v>0.38600000000000001</v>
      </c>
      <c r="AD544" s="4">
        <v>0.88700000000000001</v>
      </c>
      <c r="AE544" s="4">
        <v>0.56100000000000005</v>
      </c>
    </row>
    <row r="545" spans="1:31">
      <c r="A545" s="9" t="s">
        <v>305</v>
      </c>
      <c r="B545" s="2">
        <v>0.185</v>
      </c>
      <c r="C545" s="2">
        <v>2.7900000000000001E-2</v>
      </c>
      <c r="D545" s="2">
        <v>2.87E-2</v>
      </c>
      <c r="E545" s="2">
        <v>0.56999999999999995</v>
      </c>
      <c r="F545" s="2">
        <v>1.1399999999999999</v>
      </c>
      <c r="G545" s="2">
        <v>6.9000000000000006E-2</v>
      </c>
      <c r="H545" s="2">
        <v>0.127</v>
      </c>
      <c r="I545" s="2">
        <v>0.16</v>
      </c>
      <c r="J545" s="2">
        <v>0.123</v>
      </c>
      <c r="K545" s="2">
        <v>0.16200000000000001</v>
      </c>
      <c r="L545" s="2">
        <v>8.3799999999999999E-2</v>
      </c>
      <c r="M545" s="2">
        <v>0.49299999999999999</v>
      </c>
      <c r="N545" s="2">
        <v>3.4799999999999998E-2</v>
      </c>
      <c r="O545" s="2">
        <v>6.2700000000000006E-2</v>
      </c>
      <c r="P545" s="2">
        <v>0.24199999999999999</v>
      </c>
      <c r="Q545" s="2">
        <v>7.0999999999999994E-2</v>
      </c>
      <c r="R545" s="2">
        <v>5.4300000000000001E-2</v>
      </c>
      <c r="S545" s="2">
        <v>0.54300000000000004</v>
      </c>
      <c r="T545" s="2">
        <v>0.245</v>
      </c>
      <c r="U545" s="2">
        <v>0.11899999999999999</v>
      </c>
      <c r="V545" s="2">
        <v>0.23200000000000001</v>
      </c>
      <c r="W545" s="2">
        <v>0.28899999999999998</v>
      </c>
      <c r="X545" s="2">
        <v>0.224</v>
      </c>
      <c r="Y545" s="2">
        <v>0.56100000000000005</v>
      </c>
      <c r="Z545" s="2">
        <v>0.371</v>
      </c>
      <c r="AA545" s="2">
        <v>0.252</v>
      </c>
      <c r="AB545" s="2">
        <v>0.26300000000000001</v>
      </c>
      <c r="AC545" s="2">
        <v>0.23</v>
      </c>
      <c r="AD545" s="2">
        <v>0.182</v>
      </c>
      <c r="AE545" s="2">
        <v>3.6400000000000002E-2</v>
      </c>
    </row>
    <row r="546" spans="1:31">
      <c r="A546" s="9" t="s">
        <v>306</v>
      </c>
      <c r="B546" s="3"/>
      <c r="C546" s="3"/>
      <c r="D546" s="3"/>
      <c r="E546" s="3"/>
      <c r="F546" s="3"/>
      <c r="G546" s="3"/>
      <c r="H546" s="4">
        <v>4.9699999999999996E-3</v>
      </c>
      <c r="I546" s="4">
        <v>8.3400000000000002E-3</v>
      </c>
      <c r="J546" s="4">
        <v>1.03E-2</v>
      </c>
      <c r="K546" s="3"/>
      <c r="L546" s="4">
        <v>6.5100000000000002E-3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>
      <c r="A547" s="9" t="s">
        <v>307</v>
      </c>
      <c r="B547" s="5"/>
      <c r="C547" s="2">
        <v>3.6799999999999999E-2</v>
      </c>
      <c r="D547" s="2">
        <v>4.0099999999999997E-2</v>
      </c>
      <c r="E547" s="5"/>
      <c r="F547" s="2">
        <v>5.5500000000000001E-2</v>
      </c>
      <c r="G547" s="5"/>
      <c r="H547" s="2">
        <v>7.0999999999999994E-2</v>
      </c>
      <c r="I547" s="2">
        <v>6.5699999999999995E-2</v>
      </c>
      <c r="J547" s="2">
        <v>5.5599999999999997E-2</v>
      </c>
      <c r="K547" s="2">
        <v>1.72E-2</v>
      </c>
      <c r="L547" s="2">
        <v>5.1999999999999998E-2</v>
      </c>
      <c r="M547" s="5"/>
      <c r="N547" s="5"/>
      <c r="O547" s="5"/>
      <c r="P547" s="2">
        <v>7.4099999999999999E-3</v>
      </c>
      <c r="Q547" s="5"/>
      <c r="R547" s="5"/>
      <c r="S547" s="2">
        <v>5.91E-2</v>
      </c>
      <c r="T547" s="5"/>
      <c r="U547" s="2">
        <v>8.1699999999999995E-2</v>
      </c>
      <c r="V547" s="2">
        <v>7.0099999999999996E-2</v>
      </c>
      <c r="W547" s="2">
        <v>3.78E-2</v>
      </c>
      <c r="X547" s="2">
        <v>3.5999999999999997E-2</v>
      </c>
      <c r="Y547" s="2">
        <v>4.9599999999999998E-2</v>
      </c>
      <c r="Z547" s="2">
        <v>4.36E-2</v>
      </c>
      <c r="AA547" s="2">
        <v>5.0299999999999997E-2</v>
      </c>
      <c r="AB547" s="2">
        <v>9.1900000000000003E-3</v>
      </c>
      <c r="AC547" s="2">
        <v>5.2699999999999997E-2</v>
      </c>
      <c r="AD547" s="2">
        <v>2.8500000000000001E-2</v>
      </c>
      <c r="AE547" s="5"/>
    </row>
    <row r="548" spans="1:31">
      <c r="A548" s="9" t="s">
        <v>308</v>
      </c>
      <c r="B548" s="4">
        <v>1.6299999999999999E-2</v>
      </c>
      <c r="C548" s="4">
        <v>5.8399999999999997E-3</v>
      </c>
      <c r="D548" s="4">
        <v>1.8400000000000001E-3</v>
      </c>
      <c r="E548" s="4">
        <v>1.17E-2</v>
      </c>
      <c r="F548" s="4">
        <v>7.8600000000000003E-2</v>
      </c>
      <c r="G548" s="4">
        <v>3.4099999999999998E-3</v>
      </c>
      <c r="H548" s="4">
        <v>9.3200000000000002E-3</v>
      </c>
      <c r="I548" s="4">
        <v>1.66E-2</v>
      </c>
      <c r="J548" s="4">
        <v>1.0800000000000001E-2</v>
      </c>
      <c r="K548" s="4">
        <v>2.0299999999999999E-2</v>
      </c>
      <c r="L548" s="4">
        <v>6.62E-3</v>
      </c>
      <c r="M548" s="4">
        <v>2.7099999999999999E-2</v>
      </c>
      <c r="N548" s="4">
        <v>3.0100000000000001E-3</v>
      </c>
      <c r="O548" s="4">
        <v>4.79E-3</v>
      </c>
      <c r="P548" s="4">
        <v>1.17E-2</v>
      </c>
      <c r="Q548" s="4">
        <v>3.2299999999999998E-3</v>
      </c>
      <c r="R548" s="4">
        <v>8.6199999999999992E-3</v>
      </c>
      <c r="S548" s="4">
        <v>2.6700000000000002E-2</v>
      </c>
      <c r="T548" s="4">
        <v>1.44E-2</v>
      </c>
      <c r="U548" s="4">
        <v>1.06E-2</v>
      </c>
      <c r="V548" s="4">
        <v>1.61E-2</v>
      </c>
      <c r="W548" s="4">
        <v>9.4999999999999998E-3</v>
      </c>
      <c r="X548" s="4">
        <v>1.0500000000000001E-2</v>
      </c>
      <c r="Y548" s="4">
        <v>3.3700000000000001E-2</v>
      </c>
      <c r="Z548" s="4">
        <v>1.54E-2</v>
      </c>
      <c r="AA548" s="3"/>
      <c r="AB548" s="4">
        <v>2.6800000000000001E-2</v>
      </c>
      <c r="AC548" s="4">
        <v>1.32E-2</v>
      </c>
      <c r="AD548" s="4">
        <v>1.0699999999999999E-2</v>
      </c>
      <c r="AE548" s="4">
        <v>1.8799999999999999E-3</v>
      </c>
    </row>
    <row r="549" spans="1:31">
      <c r="A549" s="9" t="s">
        <v>309</v>
      </c>
      <c r="B549" s="2">
        <v>7.4000000000000003E-3</v>
      </c>
      <c r="C549" s="2">
        <v>3.82E-3</v>
      </c>
      <c r="D549" s="5"/>
      <c r="E549" s="2">
        <v>1.75E-3</v>
      </c>
      <c r="F549" s="2">
        <v>4.1999999999999997E-3</v>
      </c>
      <c r="G549" s="5"/>
      <c r="H549" s="2">
        <v>7.9900000000000006E-3</v>
      </c>
      <c r="I549" s="2">
        <v>7.6899999999999998E-3</v>
      </c>
      <c r="J549" s="2">
        <v>6.9199999999999999E-3</v>
      </c>
      <c r="K549" s="2">
        <v>5.4299999999999999E-3</v>
      </c>
      <c r="L549" s="2">
        <v>1.1299999999999999E-2</v>
      </c>
      <c r="M549" s="2">
        <v>1.17E-2</v>
      </c>
      <c r="N549" s="2">
        <v>2.2599999999999999E-3</v>
      </c>
      <c r="O549" s="2">
        <v>4.6100000000000004E-3</v>
      </c>
      <c r="P549" s="2">
        <v>7.7099999999999998E-3</v>
      </c>
      <c r="Q549" s="2">
        <v>1.9E-3</v>
      </c>
      <c r="R549" s="2">
        <v>1.7600000000000001E-3</v>
      </c>
      <c r="S549" s="2">
        <v>1.14E-2</v>
      </c>
      <c r="T549" s="2">
        <v>7.3800000000000003E-3</v>
      </c>
      <c r="U549" s="2">
        <v>2.2100000000000002E-2</v>
      </c>
      <c r="V549" s="2">
        <v>1.2E-2</v>
      </c>
      <c r="W549" s="2">
        <v>1.1299999999999999E-2</v>
      </c>
      <c r="X549" s="2">
        <v>5.8599999999999998E-3</v>
      </c>
      <c r="Y549" s="2">
        <v>1.14E-2</v>
      </c>
      <c r="Z549" s="2">
        <v>9.9900000000000006E-3</v>
      </c>
      <c r="AA549" s="2">
        <v>9.41E-3</v>
      </c>
      <c r="AB549" s="2">
        <v>8.8900000000000003E-3</v>
      </c>
      <c r="AC549" s="2">
        <v>9.5899999999999996E-3</v>
      </c>
      <c r="AD549" s="2">
        <v>6.62E-3</v>
      </c>
      <c r="AE549" s="2">
        <v>1.89E-3</v>
      </c>
    </row>
    <row r="550" spans="1:31">
      <c r="A550" s="9" t="s">
        <v>310</v>
      </c>
      <c r="B550" s="4">
        <v>9.0299999999999998E-3</v>
      </c>
      <c r="C550" s="4">
        <v>3.8700000000000002E-3</v>
      </c>
      <c r="D550" s="3"/>
      <c r="E550" s="4">
        <v>5.6600000000000001E-3</v>
      </c>
      <c r="F550" s="4">
        <v>1.15E-2</v>
      </c>
      <c r="G550" s="4">
        <v>4.1399999999999996E-3</v>
      </c>
      <c r="H550" s="4">
        <v>8.2199999999999999E-3</v>
      </c>
      <c r="I550" s="4">
        <v>1.1599999999999999E-2</v>
      </c>
      <c r="J550" s="4">
        <v>9.0500000000000008E-3</v>
      </c>
      <c r="K550" s="4">
        <v>5.0600000000000003E-3</v>
      </c>
      <c r="L550" s="4">
        <v>8.5299999999999994E-3</v>
      </c>
      <c r="M550" s="4">
        <v>1.4200000000000001E-2</v>
      </c>
      <c r="N550" s="4">
        <v>3.0899999999999999E-3</v>
      </c>
      <c r="O550" s="4">
        <v>4.4999999999999997E-3</v>
      </c>
      <c r="P550" s="4">
        <v>1.5100000000000001E-2</v>
      </c>
      <c r="Q550" s="4">
        <v>3.14E-3</v>
      </c>
      <c r="R550" s="4">
        <v>2.2100000000000002E-3</v>
      </c>
      <c r="S550" s="4">
        <v>1.1299999999999999E-2</v>
      </c>
      <c r="T550" s="4">
        <v>8.8800000000000007E-3</v>
      </c>
      <c r="U550" s="4">
        <v>1.5900000000000001E-2</v>
      </c>
      <c r="V550" s="4">
        <v>1.2999999999999999E-2</v>
      </c>
      <c r="W550" s="4">
        <v>7.7400000000000004E-3</v>
      </c>
      <c r="X550" s="4">
        <v>4.8500000000000001E-3</v>
      </c>
      <c r="Y550" s="4">
        <v>1.55E-2</v>
      </c>
      <c r="Z550" s="4">
        <v>1.18E-2</v>
      </c>
      <c r="AA550" s="4">
        <v>8.2400000000000008E-3</v>
      </c>
      <c r="AB550" s="4">
        <v>2.1700000000000001E-2</v>
      </c>
      <c r="AC550" s="4">
        <v>8.1700000000000002E-3</v>
      </c>
      <c r="AD550" s="4">
        <v>7.6899999999999998E-3</v>
      </c>
      <c r="AE550" s="4">
        <v>1.8500000000000001E-3</v>
      </c>
    </row>
    <row r="551" spans="1:31">
      <c r="A551" s="9" t="s">
        <v>311</v>
      </c>
      <c r="B551" s="2">
        <v>0.59299999999999997</v>
      </c>
      <c r="C551" s="2">
        <v>0.32800000000000001</v>
      </c>
      <c r="D551" s="2">
        <v>0.374</v>
      </c>
      <c r="E551" s="2">
        <v>0.23699999999999999</v>
      </c>
      <c r="F551" s="2">
        <v>0.56100000000000005</v>
      </c>
      <c r="G551" s="2">
        <v>0.31900000000000001</v>
      </c>
      <c r="H551" s="2">
        <v>0.67</v>
      </c>
      <c r="I551" s="2">
        <v>0.67400000000000004</v>
      </c>
      <c r="J551" s="2">
        <v>0.70399999999999996</v>
      </c>
      <c r="K551" s="2">
        <v>0.433</v>
      </c>
      <c r="L551" s="2">
        <v>0.55300000000000005</v>
      </c>
      <c r="M551" s="2">
        <v>0.66600000000000004</v>
      </c>
      <c r="N551" s="2">
        <v>0.308</v>
      </c>
      <c r="O551" s="2">
        <v>0.376</v>
      </c>
      <c r="P551" s="2">
        <v>0.71899999999999997</v>
      </c>
      <c r="Q551" s="2">
        <v>0.32100000000000001</v>
      </c>
      <c r="R551" s="2">
        <v>0.246</v>
      </c>
      <c r="S551" s="2">
        <v>0.624</v>
      </c>
      <c r="T551" s="2">
        <v>0.27300000000000002</v>
      </c>
      <c r="U551" s="2">
        <v>1.21</v>
      </c>
      <c r="V551" s="2">
        <v>0.92200000000000004</v>
      </c>
      <c r="W551" s="2">
        <v>0.58199999999999996</v>
      </c>
      <c r="X551" s="2">
        <v>0.36899999999999999</v>
      </c>
      <c r="Y551" s="2">
        <v>0.53700000000000003</v>
      </c>
      <c r="Z551" s="2">
        <v>0.51300000000000001</v>
      </c>
      <c r="AA551" s="2">
        <v>0.60499999999999998</v>
      </c>
      <c r="AB551" s="2">
        <v>0.89</v>
      </c>
      <c r="AC551" s="2">
        <v>0.56399999999999995</v>
      </c>
      <c r="AD551" s="2">
        <v>0.57999999999999996</v>
      </c>
      <c r="AE551" s="2">
        <v>0.17299999999999999</v>
      </c>
    </row>
    <row r="552" spans="1:31">
      <c r="A552" s="9" t="s">
        <v>312</v>
      </c>
      <c r="B552" s="4">
        <v>0.14199999999999999</v>
      </c>
      <c r="C552" s="4">
        <v>0.113</v>
      </c>
      <c r="D552" s="4">
        <v>6.2600000000000003E-2</v>
      </c>
      <c r="E552" s="4">
        <v>2.1999999999999999E-2</v>
      </c>
      <c r="F552" s="4">
        <v>4.82E-2</v>
      </c>
      <c r="G552" s="4">
        <v>3.8899999999999997E-2</v>
      </c>
      <c r="H552" s="4">
        <v>0.26700000000000002</v>
      </c>
      <c r="I552" s="4">
        <v>0.317</v>
      </c>
      <c r="J552" s="4">
        <v>0.28199999999999997</v>
      </c>
      <c r="K552" s="4">
        <v>0.127</v>
      </c>
      <c r="L552" s="4">
        <v>0.314</v>
      </c>
      <c r="M552" s="4">
        <v>0.151</v>
      </c>
      <c r="N552" s="4">
        <v>5.1999999999999998E-2</v>
      </c>
      <c r="O552" s="4">
        <v>7.3599999999999999E-2</v>
      </c>
      <c r="P552" s="4">
        <v>0.152</v>
      </c>
      <c r="Q552" s="4">
        <v>4.3299999999999998E-2</v>
      </c>
      <c r="R552" s="4">
        <v>4.82E-2</v>
      </c>
      <c r="S552" s="4">
        <v>0.151</v>
      </c>
      <c r="T552" s="4">
        <v>0.245</v>
      </c>
      <c r="U552" s="4">
        <v>0.84899999999999998</v>
      </c>
      <c r="V552" s="4">
        <v>0.59199999999999997</v>
      </c>
      <c r="W552" s="4">
        <v>0.36299999999999999</v>
      </c>
      <c r="X552" s="4">
        <v>0.192</v>
      </c>
      <c r="Y552" s="4">
        <v>0.23699999999999999</v>
      </c>
      <c r="Z552" s="4">
        <v>0.26300000000000001</v>
      </c>
      <c r="AA552" s="3"/>
      <c r="AB552" s="4">
        <v>0.182</v>
      </c>
      <c r="AC552" s="4">
        <v>0.23699999999999999</v>
      </c>
      <c r="AD552" s="4">
        <v>0.17299999999999999</v>
      </c>
      <c r="AE552" s="4">
        <v>4.2700000000000002E-2</v>
      </c>
    </row>
    <row r="553" spans="1:31">
      <c r="A553" s="9" t="s">
        <v>313</v>
      </c>
      <c r="B553" s="2">
        <v>8.0199999999999994E-2</v>
      </c>
      <c r="C553" s="2">
        <v>4.82E-2</v>
      </c>
      <c r="D553" s="2">
        <v>5.8500000000000003E-2</v>
      </c>
      <c r="E553" s="2">
        <v>3.1E-2</v>
      </c>
      <c r="F553" s="2">
        <v>7.3200000000000001E-2</v>
      </c>
      <c r="G553" s="2">
        <v>4.8500000000000001E-2</v>
      </c>
      <c r="H553" s="2">
        <v>9.3399999999999997E-2</v>
      </c>
      <c r="I553" s="2">
        <v>9.3200000000000005E-2</v>
      </c>
      <c r="J553" s="2">
        <v>9.64E-2</v>
      </c>
      <c r="K553" s="2">
        <v>5.8400000000000001E-2</v>
      </c>
      <c r="L553" s="2">
        <v>7.7499999999999999E-2</v>
      </c>
      <c r="M553" s="2">
        <v>9.6500000000000002E-2</v>
      </c>
      <c r="N553" s="2">
        <v>4.0599999999999997E-2</v>
      </c>
      <c r="O553" s="2">
        <v>4.8500000000000001E-2</v>
      </c>
      <c r="P553" s="2">
        <v>0.10199999999999999</v>
      </c>
      <c r="Q553" s="2">
        <v>4.2200000000000001E-2</v>
      </c>
      <c r="R553" s="2">
        <v>3.9199999999999999E-2</v>
      </c>
      <c r="S553" s="2">
        <v>8.3000000000000004E-2</v>
      </c>
      <c r="T553" s="2">
        <v>3.4500000000000003E-2</v>
      </c>
      <c r="U553" s="2">
        <v>0.13500000000000001</v>
      </c>
      <c r="V553" s="2">
        <v>0.109</v>
      </c>
      <c r="W553" s="2">
        <v>9.2700000000000005E-2</v>
      </c>
      <c r="X553" s="2">
        <v>5.91E-2</v>
      </c>
      <c r="Y553" s="2">
        <v>8.3900000000000002E-2</v>
      </c>
      <c r="Z553" s="2">
        <v>7.4200000000000002E-2</v>
      </c>
      <c r="AA553" s="2">
        <v>9.7299999999999998E-2</v>
      </c>
      <c r="AB553" s="2">
        <v>0.11700000000000001</v>
      </c>
      <c r="AC553" s="2">
        <v>7.4700000000000003E-2</v>
      </c>
      <c r="AD553" s="2">
        <v>7.7499999999999999E-2</v>
      </c>
      <c r="AE553" s="2">
        <v>2.4899999999999999E-2</v>
      </c>
    </row>
    <row r="554" spans="1:31">
      <c r="A554" s="9" t="s">
        <v>314</v>
      </c>
      <c r="B554" s="3"/>
      <c r="C554" s="3"/>
      <c r="D554" s="3"/>
      <c r="E554" s="4">
        <v>1.1299999999999999E-2</v>
      </c>
      <c r="F554" s="4">
        <v>1.9599999999999999E-2</v>
      </c>
      <c r="G554" s="4">
        <v>5.9199999999999999E-3</v>
      </c>
      <c r="H554" s="3"/>
      <c r="I554" s="3"/>
      <c r="J554" s="3"/>
      <c r="K554" s="4">
        <v>7.7400000000000004E-3</v>
      </c>
      <c r="L554" s="3"/>
      <c r="M554" s="3"/>
      <c r="N554" s="3"/>
      <c r="O554" s="3"/>
      <c r="P554" s="3"/>
      <c r="Q554" s="4">
        <v>8.2199999999999999E-3</v>
      </c>
      <c r="R554" s="4">
        <v>4.8799999999999998E-3</v>
      </c>
      <c r="S554" s="3"/>
      <c r="T554" s="3"/>
      <c r="U554" s="3"/>
      <c r="V554" s="4">
        <v>1.06E-2</v>
      </c>
      <c r="W554" s="3"/>
      <c r="X554" s="4">
        <v>1.03E-2</v>
      </c>
      <c r="Y554" s="4">
        <v>1.78E-2</v>
      </c>
      <c r="Z554" s="4">
        <v>2.5399999999999999E-2</v>
      </c>
      <c r="AA554" s="3"/>
      <c r="AB554" s="3"/>
      <c r="AC554" s="3"/>
      <c r="AD554" s="4">
        <v>1.49E-2</v>
      </c>
      <c r="AE554" s="4">
        <v>3.8600000000000001E-3</v>
      </c>
    </row>
    <row r="555" spans="1:31">
      <c r="A555" s="9" t="s">
        <v>315</v>
      </c>
      <c r="B555" s="2">
        <v>0.17899999999999999</v>
      </c>
      <c r="C555" s="2">
        <v>0.14399999999999999</v>
      </c>
      <c r="D555" s="2">
        <v>0.13900000000000001</v>
      </c>
      <c r="E555" s="2">
        <v>0.184</v>
      </c>
      <c r="F555" s="2">
        <v>0.53200000000000003</v>
      </c>
      <c r="G555" s="2">
        <v>0.13600000000000001</v>
      </c>
      <c r="H555" s="2">
        <v>0.248</v>
      </c>
      <c r="I555" s="2">
        <v>0.25</v>
      </c>
      <c r="J555" s="2">
        <v>0.23699999999999999</v>
      </c>
      <c r="K555" s="2">
        <v>0.23</v>
      </c>
      <c r="L555" s="2">
        <v>0.20399999999999999</v>
      </c>
      <c r="M555" s="2">
        <v>0.2</v>
      </c>
      <c r="N555" s="2">
        <v>0.127</v>
      </c>
      <c r="O555" s="2">
        <v>0.11899999999999999</v>
      </c>
      <c r="P555" s="2">
        <v>0.2</v>
      </c>
      <c r="Q555" s="2">
        <v>0.16</v>
      </c>
      <c r="R555" s="2">
        <v>9.4100000000000003E-2</v>
      </c>
      <c r="S555" s="2">
        <v>0.214</v>
      </c>
      <c r="T555" s="2">
        <v>0.155</v>
      </c>
      <c r="U555" s="2">
        <v>0.35299999999999998</v>
      </c>
      <c r="V555" s="2">
        <v>0.27400000000000002</v>
      </c>
      <c r="W555" s="2">
        <v>0.21199999999999999</v>
      </c>
      <c r="X555" s="2">
        <v>0.14399999999999999</v>
      </c>
      <c r="Y555" s="2">
        <v>0.19500000000000001</v>
      </c>
      <c r="Z555" s="2">
        <v>0.19400000000000001</v>
      </c>
      <c r="AA555" s="2">
        <v>0.224</v>
      </c>
      <c r="AB555" s="2">
        <v>0.34</v>
      </c>
      <c r="AC555" s="2">
        <v>0.18</v>
      </c>
      <c r="AD555" s="2">
        <v>0.33500000000000002</v>
      </c>
      <c r="AE555" s="2">
        <v>6.5199999999999994E-2</v>
      </c>
    </row>
    <row r="556" spans="1:31">
      <c r="A556" s="9" t="s">
        <v>316</v>
      </c>
      <c r="B556" s="4">
        <v>3.1399999999999997E-2</v>
      </c>
      <c r="C556" s="4">
        <v>1.38E-2</v>
      </c>
      <c r="D556" s="4">
        <v>1.6899999999999998E-2</v>
      </c>
      <c r="E556" s="4">
        <v>1.49E-2</v>
      </c>
      <c r="F556" s="4">
        <v>3.1E-2</v>
      </c>
      <c r="G556" s="4">
        <v>2.2800000000000001E-2</v>
      </c>
      <c r="H556" s="4">
        <v>1.7100000000000001E-2</v>
      </c>
      <c r="I556" s="4">
        <v>9.4000000000000004E-3</v>
      </c>
      <c r="J556" s="4">
        <v>7.7000000000000002E-3</v>
      </c>
      <c r="K556" s="4">
        <v>1.5299999999999999E-2</v>
      </c>
      <c r="L556" s="4">
        <v>1.47E-2</v>
      </c>
      <c r="M556" s="4">
        <v>3.7600000000000001E-2</v>
      </c>
      <c r="N556" s="4">
        <v>8.77E-3</v>
      </c>
      <c r="O556" s="4">
        <v>1.0800000000000001E-2</v>
      </c>
      <c r="P556" s="4">
        <v>2.0299999999999999E-2</v>
      </c>
      <c r="Q556" s="4">
        <v>2.0500000000000001E-2</v>
      </c>
      <c r="R556" s="4">
        <v>1.34E-2</v>
      </c>
      <c r="S556" s="4">
        <v>2.1700000000000001E-2</v>
      </c>
      <c r="T556" s="4">
        <v>2.0799999999999999E-2</v>
      </c>
      <c r="U556" s="4">
        <v>3.0099999999999998E-2</v>
      </c>
      <c r="V556" s="4">
        <v>1.7600000000000001E-2</v>
      </c>
      <c r="W556" s="4">
        <v>2.5899999999999999E-2</v>
      </c>
      <c r="X556" s="4">
        <v>1.0699999999999999E-2</v>
      </c>
      <c r="Y556" s="4">
        <v>1.4200000000000001E-2</v>
      </c>
      <c r="Z556" s="3"/>
      <c r="AA556" s="4">
        <v>2.1100000000000001E-2</v>
      </c>
      <c r="AB556" s="4">
        <v>3.4000000000000002E-2</v>
      </c>
      <c r="AC556" s="3"/>
      <c r="AD556" s="4">
        <v>1.84E-2</v>
      </c>
      <c r="AE556" s="4">
        <v>6.1799999999999997E-3</v>
      </c>
    </row>
    <row r="557" spans="1:31">
      <c r="A557" s="9" t="s">
        <v>317</v>
      </c>
      <c r="B557" s="2">
        <v>3.5299999999999998E-2</v>
      </c>
      <c r="C557" s="2">
        <v>8.1300000000000001E-3</v>
      </c>
      <c r="D557" s="2">
        <v>6.2300000000000003E-3</v>
      </c>
      <c r="E557" s="2">
        <v>5.6699999999999997E-3</v>
      </c>
      <c r="F557" s="2">
        <v>1.7399999999999999E-2</v>
      </c>
      <c r="G557" s="2">
        <v>7.7299999999999999E-3</v>
      </c>
      <c r="H557" s="2">
        <v>2.2100000000000002E-2</v>
      </c>
      <c r="I557" s="2">
        <v>2.5000000000000001E-2</v>
      </c>
      <c r="J557" s="2">
        <v>2.6599999999999999E-2</v>
      </c>
      <c r="K557" s="2">
        <v>2.9499999999999998E-2</v>
      </c>
      <c r="L557" s="2">
        <v>2.3199999999999998E-2</v>
      </c>
      <c r="M557" s="2">
        <v>3.6299999999999999E-2</v>
      </c>
      <c r="N557" s="2">
        <v>1.2200000000000001E-2</v>
      </c>
      <c r="O557" s="2">
        <v>1.7299999999999999E-2</v>
      </c>
      <c r="P557" s="2">
        <v>3.2800000000000003E-2</v>
      </c>
      <c r="Q557" s="2">
        <v>1.32E-2</v>
      </c>
      <c r="R557" s="2">
        <v>6.9499999999999996E-3</v>
      </c>
      <c r="S557" s="2">
        <v>3.2300000000000002E-2</v>
      </c>
      <c r="T557" s="2">
        <v>3.5999999999999997E-2</v>
      </c>
      <c r="U557" s="2">
        <v>6.0199999999999997E-2</v>
      </c>
      <c r="V557" s="2">
        <v>4.7500000000000001E-2</v>
      </c>
      <c r="W557" s="2">
        <v>6.6699999999999995E-2</v>
      </c>
      <c r="X557" s="2">
        <v>3.56E-2</v>
      </c>
      <c r="Y557" s="2">
        <v>4.53E-2</v>
      </c>
      <c r="Z557" s="2">
        <v>5.0700000000000002E-2</v>
      </c>
      <c r="AA557" s="2">
        <v>3.5900000000000001E-2</v>
      </c>
      <c r="AB557" s="2">
        <v>3.5400000000000001E-2</v>
      </c>
      <c r="AC557" s="2">
        <v>1.7000000000000001E-2</v>
      </c>
      <c r="AD557" s="2">
        <v>3.0499999999999999E-2</v>
      </c>
      <c r="AE557" s="2">
        <v>8.0400000000000003E-3</v>
      </c>
    </row>
    <row r="558" spans="1:31">
      <c r="A558" s="9" t="s">
        <v>318</v>
      </c>
      <c r="B558" s="3"/>
      <c r="C558" s="3"/>
      <c r="D558" s="3"/>
      <c r="E558" s="3"/>
      <c r="F558" s="3"/>
      <c r="G558" s="3"/>
      <c r="H558" s="3"/>
      <c r="I558" s="4">
        <v>9.0300000000000005E-4</v>
      </c>
      <c r="J558" s="4">
        <v>5.2800000000000004E-4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>
      <c r="A559" s="9" t="s">
        <v>319</v>
      </c>
      <c r="B559" s="2">
        <v>0.12</v>
      </c>
      <c r="C559" s="2">
        <v>5.0999999999999997E-2</v>
      </c>
      <c r="D559" s="2">
        <v>4.5999999999999999E-2</v>
      </c>
      <c r="E559" s="2">
        <v>2.07E-2</v>
      </c>
      <c r="F559" s="2">
        <v>4.8599999999999997E-2</v>
      </c>
      <c r="G559" s="2">
        <v>2.5999999999999999E-2</v>
      </c>
      <c r="H559" s="2">
        <v>0.13300000000000001</v>
      </c>
      <c r="I559" s="2">
        <v>0.159</v>
      </c>
      <c r="J559" s="2">
        <v>0.17899999999999999</v>
      </c>
      <c r="K559" s="2">
        <v>0.11600000000000001</v>
      </c>
      <c r="L559" s="2">
        <v>0.127</v>
      </c>
      <c r="M559" s="2">
        <v>0.114</v>
      </c>
      <c r="N559" s="2">
        <v>3.6900000000000002E-2</v>
      </c>
      <c r="O559" s="2">
        <v>5.1299999999999998E-2</v>
      </c>
      <c r="P559" s="2">
        <v>0.127</v>
      </c>
      <c r="Q559" s="2">
        <v>4.5699999999999998E-2</v>
      </c>
      <c r="R559" s="2">
        <v>2.23E-2</v>
      </c>
      <c r="S559" s="2">
        <v>0.13200000000000001</v>
      </c>
      <c r="T559" s="2">
        <v>7.46E-2</v>
      </c>
      <c r="U559" s="2">
        <v>0.21099999999999999</v>
      </c>
      <c r="V559" s="2">
        <v>0.156</v>
      </c>
      <c r="W559" s="2">
        <v>0.19</v>
      </c>
      <c r="X559" s="2">
        <v>0.11</v>
      </c>
      <c r="Y559" s="2">
        <v>0.14899999999999999</v>
      </c>
      <c r="Z559" s="2">
        <v>0.14499999999999999</v>
      </c>
      <c r="AA559" s="2">
        <v>0.11799999999999999</v>
      </c>
      <c r="AB559" s="2">
        <v>0.14399999999999999</v>
      </c>
      <c r="AC559" s="2">
        <v>0.11700000000000001</v>
      </c>
      <c r="AD559" s="2">
        <v>0.13600000000000001</v>
      </c>
      <c r="AE559" s="2">
        <v>1.8800000000000001E-2</v>
      </c>
    </row>
    <row r="560" spans="1:31">
      <c r="A560" s="9" t="s">
        <v>320</v>
      </c>
      <c r="B560" s="4">
        <v>0.32700000000000001</v>
      </c>
      <c r="C560" s="4">
        <v>0.14000000000000001</v>
      </c>
      <c r="D560" s="4">
        <v>7.0199999999999999E-2</v>
      </c>
      <c r="E560" s="4">
        <v>4.0300000000000002E-2</v>
      </c>
      <c r="F560" s="4">
        <v>0.11899999999999999</v>
      </c>
      <c r="G560" s="4">
        <v>0.104</v>
      </c>
      <c r="H560" s="4">
        <v>0.32</v>
      </c>
      <c r="I560" s="4">
        <v>0.40200000000000002</v>
      </c>
      <c r="J560" s="4">
        <v>0.46600000000000003</v>
      </c>
      <c r="K560" s="4">
        <v>0.22800000000000001</v>
      </c>
      <c r="L560" s="4">
        <v>0.29399999999999998</v>
      </c>
      <c r="M560" s="4">
        <v>0.309</v>
      </c>
      <c r="N560" s="4">
        <v>9.5699999999999993E-2</v>
      </c>
      <c r="O560" s="4">
        <v>0.157</v>
      </c>
      <c r="P560" s="4">
        <v>0.32100000000000001</v>
      </c>
      <c r="Q560" s="4">
        <v>0.11799999999999999</v>
      </c>
      <c r="R560" s="4">
        <v>7.4099999999999999E-2</v>
      </c>
      <c r="S560" s="4">
        <v>0.316</v>
      </c>
      <c r="T560" s="4">
        <v>0.35399999999999998</v>
      </c>
      <c r="U560" s="4">
        <v>0.504</v>
      </c>
      <c r="V560" s="4">
        <v>0.4</v>
      </c>
      <c r="W560" s="4">
        <v>0.61499999999999999</v>
      </c>
      <c r="X560" s="4">
        <v>0.32100000000000001</v>
      </c>
      <c r="Y560" s="4">
        <v>0.40799999999999997</v>
      </c>
      <c r="Z560" s="4">
        <v>0.44500000000000001</v>
      </c>
      <c r="AA560" s="4">
        <v>0.32</v>
      </c>
      <c r="AB560" s="4">
        <v>0.371</v>
      </c>
      <c r="AC560" s="4">
        <v>0.28199999999999997</v>
      </c>
      <c r="AD560" s="4">
        <v>0.26</v>
      </c>
      <c r="AE560" s="4">
        <v>6.3700000000000007E-2</v>
      </c>
    </row>
    <row r="561" spans="1:34">
      <c r="A561" s="9" t="s">
        <v>321</v>
      </c>
      <c r="B561" s="2">
        <v>0.82</v>
      </c>
      <c r="C561" s="2">
        <v>0.3</v>
      </c>
      <c r="D561" s="2">
        <v>0.17499999999999999</v>
      </c>
      <c r="E561" s="2">
        <v>0.113</v>
      </c>
      <c r="F561" s="2">
        <v>0.28599999999999998</v>
      </c>
      <c r="G561" s="2">
        <v>0.247</v>
      </c>
      <c r="H561" s="2">
        <v>0.748</v>
      </c>
      <c r="I561" s="2">
        <v>0.98299999999999998</v>
      </c>
      <c r="J561" s="2">
        <v>1.19</v>
      </c>
      <c r="K561" s="2">
        <v>0.52300000000000002</v>
      </c>
      <c r="L561" s="2">
        <v>0.68300000000000005</v>
      </c>
      <c r="M561" s="2">
        <v>0.69199999999999995</v>
      </c>
      <c r="N561" s="2">
        <v>0.214</v>
      </c>
      <c r="O561" s="2">
        <v>0.35699999999999998</v>
      </c>
      <c r="P561" s="2">
        <v>0.86</v>
      </c>
      <c r="Q561" s="2">
        <v>0.32700000000000001</v>
      </c>
      <c r="R561" s="2">
        <v>0.129</v>
      </c>
      <c r="S561" s="2">
        <v>0.872</v>
      </c>
      <c r="T561" s="2">
        <v>0.69799999999999995</v>
      </c>
      <c r="U561" s="2">
        <v>1.28</v>
      </c>
      <c r="V561" s="2">
        <v>1.0900000000000001</v>
      </c>
      <c r="W561" s="2">
        <v>1.81</v>
      </c>
      <c r="X561" s="2">
        <v>0.85199999999999998</v>
      </c>
      <c r="Y561" s="2">
        <v>1.18</v>
      </c>
      <c r="Z561" s="2">
        <v>1.17</v>
      </c>
      <c r="AA561" s="2">
        <v>0.84599999999999997</v>
      </c>
      <c r="AB561" s="2">
        <v>0.88800000000000001</v>
      </c>
      <c r="AC561" s="2">
        <v>0.66300000000000003</v>
      </c>
      <c r="AD561" s="2">
        <v>0.64800000000000002</v>
      </c>
      <c r="AE561" s="2">
        <v>0.13400000000000001</v>
      </c>
    </row>
    <row r="562" spans="1:34">
      <c r="A562" s="9" t="s">
        <v>322</v>
      </c>
      <c r="B562" s="4">
        <v>2.1100000000000001E-2</v>
      </c>
      <c r="C562" s="4">
        <v>2.76E-2</v>
      </c>
      <c r="D562" s="4">
        <v>2.2499999999999999E-2</v>
      </c>
      <c r="E562" s="4">
        <v>2.97E-3</v>
      </c>
      <c r="F562" s="4">
        <v>1.9E-2</v>
      </c>
      <c r="G562" s="4">
        <v>3.15E-3</v>
      </c>
      <c r="H562" s="4">
        <v>7.2599999999999998E-2</v>
      </c>
      <c r="I562" s="4">
        <v>8.7900000000000006E-2</v>
      </c>
      <c r="J562" s="4">
        <v>6.8699999999999997E-2</v>
      </c>
      <c r="K562" s="4">
        <v>2.7900000000000001E-2</v>
      </c>
      <c r="L562" s="4">
        <v>7.8E-2</v>
      </c>
      <c r="M562" s="4">
        <v>2.1999999999999999E-2</v>
      </c>
      <c r="N562" s="4">
        <v>7.9699999999999997E-3</v>
      </c>
      <c r="O562" s="4">
        <v>1.3100000000000001E-2</v>
      </c>
      <c r="P562" s="4">
        <v>2.2800000000000001E-2</v>
      </c>
      <c r="Q562" s="4">
        <v>6.0099999999999997E-3</v>
      </c>
      <c r="R562" s="4">
        <v>4.5799999999999999E-3</v>
      </c>
      <c r="S562" s="4">
        <v>8.5999999999999993E-2</v>
      </c>
      <c r="T562" s="4">
        <v>3.9600000000000003E-2</v>
      </c>
      <c r="U562" s="4">
        <v>0.13500000000000001</v>
      </c>
      <c r="V562" s="4">
        <v>0.10299999999999999</v>
      </c>
      <c r="W562" s="4">
        <v>0.123</v>
      </c>
      <c r="X562" s="4">
        <v>6.88E-2</v>
      </c>
      <c r="Y562" s="4">
        <v>8.5000000000000006E-2</v>
      </c>
      <c r="Z562" s="4">
        <v>9.35E-2</v>
      </c>
      <c r="AA562" s="4">
        <v>7.5600000000000001E-2</v>
      </c>
      <c r="AB562" s="4">
        <v>2.4799999999999999E-2</v>
      </c>
      <c r="AC562" s="4">
        <v>5.8799999999999998E-2</v>
      </c>
      <c r="AD562" s="4">
        <v>3.9300000000000002E-2</v>
      </c>
      <c r="AE562" s="4">
        <v>2.9199999999999999E-3</v>
      </c>
    </row>
    <row r="563" spans="1:34">
      <c r="A563" s="9" t="s">
        <v>323</v>
      </c>
      <c r="B563" s="2">
        <v>1.63</v>
      </c>
      <c r="C563" s="2">
        <v>0.60199999999999998</v>
      </c>
      <c r="D563" s="2">
        <v>0.39200000000000002</v>
      </c>
      <c r="E563" s="2">
        <v>0.2</v>
      </c>
      <c r="F563" s="2">
        <v>0.48299999999999998</v>
      </c>
      <c r="G563" s="2">
        <v>0.224</v>
      </c>
      <c r="H563" s="2">
        <v>1.56</v>
      </c>
      <c r="I563" s="2">
        <v>1.92</v>
      </c>
      <c r="J563" s="2">
        <v>1.68</v>
      </c>
      <c r="K563" s="2">
        <v>1.1499999999999999</v>
      </c>
      <c r="L563" s="2">
        <v>1.82</v>
      </c>
      <c r="M563" s="2">
        <v>1.55</v>
      </c>
      <c r="N563" s="2">
        <v>0.48399999999999999</v>
      </c>
      <c r="O563" s="2">
        <v>0.80700000000000005</v>
      </c>
      <c r="P563" s="2">
        <v>1.63</v>
      </c>
      <c r="Q563" s="2">
        <v>0.374</v>
      </c>
      <c r="R563" s="2">
        <v>0.29199999999999998</v>
      </c>
      <c r="S563" s="2">
        <v>1.73</v>
      </c>
      <c r="T563" s="2">
        <v>0.78100000000000003</v>
      </c>
      <c r="U563" s="2">
        <v>2.48</v>
      </c>
      <c r="V563" s="2">
        <v>1.76</v>
      </c>
      <c r="W563" s="2">
        <v>2.36</v>
      </c>
      <c r="X563" s="2">
        <v>1.25</v>
      </c>
      <c r="Y563" s="2">
        <v>1.4</v>
      </c>
      <c r="Z563" s="2">
        <v>1.67</v>
      </c>
      <c r="AA563" s="2">
        <v>1.26</v>
      </c>
      <c r="AB563" s="2">
        <v>1.95</v>
      </c>
      <c r="AC563" s="2">
        <v>1.31</v>
      </c>
      <c r="AD563" s="2">
        <v>1.37</v>
      </c>
      <c r="AE563" s="2">
        <v>0.26300000000000001</v>
      </c>
      <c r="AF563">
        <f>STDEV(B563:AE563)</f>
        <v>0.66711535131041855</v>
      </c>
      <c r="AG563" s="80">
        <f>AVERAGE(B563:AE563)</f>
        <v>1.2127333333333332</v>
      </c>
      <c r="AH563" s="80">
        <f>AF563/AG563</f>
        <v>0.55009236818516183</v>
      </c>
    </row>
    <row r="564" spans="1:34">
      <c r="A564" s="9" t="s">
        <v>324</v>
      </c>
      <c r="B564" s="4">
        <v>0.26400000000000001</v>
      </c>
      <c r="C564" s="4">
        <v>9.7100000000000006E-2</v>
      </c>
      <c r="D564" s="4">
        <v>6.3100000000000003E-2</v>
      </c>
      <c r="E564" s="4">
        <v>2.9499999999999998E-2</v>
      </c>
      <c r="F564" s="4">
        <v>7.8899999999999998E-2</v>
      </c>
      <c r="G564" s="4">
        <v>3.9699999999999999E-2</v>
      </c>
      <c r="H564" s="4">
        <v>0.24199999999999999</v>
      </c>
      <c r="I564" s="4">
        <v>0.30199999999999999</v>
      </c>
      <c r="J564" s="4">
        <v>0.26400000000000001</v>
      </c>
      <c r="K564" s="4">
        <v>0.189</v>
      </c>
      <c r="L564" s="4">
        <v>0.28799999999999998</v>
      </c>
      <c r="M564" s="4">
        <v>0.247</v>
      </c>
      <c r="N564" s="4">
        <v>7.4899999999999994E-2</v>
      </c>
      <c r="O564" s="4">
        <v>0.125</v>
      </c>
      <c r="P564" s="4">
        <v>0.25600000000000001</v>
      </c>
      <c r="Q564" s="4">
        <v>6.4000000000000001E-2</v>
      </c>
      <c r="R564" s="4">
        <v>5.2200000000000003E-2</v>
      </c>
      <c r="S564" s="4">
        <v>0.26800000000000002</v>
      </c>
      <c r="T564" s="4">
        <v>0.14000000000000001</v>
      </c>
      <c r="U564" s="4">
        <v>0.47299999999999998</v>
      </c>
      <c r="V564" s="4">
        <v>0.31</v>
      </c>
      <c r="W564" s="4">
        <v>0.40400000000000003</v>
      </c>
      <c r="X564" s="4">
        <v>0.185</v>
      </c>
      <c r="Y564" s="4">
        <v>0.24199999999999999</v>
      </c>
      <c r="Z564" s="4">
        <v>0.253</v>
      </c>
      <c r="AA564" s="4">
        <v>0.21</v>
      </c>
      <c r="AB564" s="4">
        <v>0.314</v>
      </c>
      <c r="AC564" s="4">
        <v>0.20699999999999999</v>
      </c>
      <c r="AD564" s="4">
        <v>0.214</v>
      </c>
      <c r="AE564" s="4">
        <v>4.3299999999999998E-2</v>
      </c>
    </row>
    <row r="565" spans="1:34">
      <c r="A565" s="9" t="s">
        <v>325</v>
      </c>
      <c r="B565" s="2">
        <v>0.55600000000000005</v>
      </c>
      <c r="C565" s="2">
        <v>0.29199999999999998</v>
      </c>
      <c r="D565" s="2">
        <v>0.158</v>
      </c>
      <c r="E565" s="2">
        <v>9.6199999999999994E-2</v>
      </c>
      <c r="F565" s="2">
        <v>0.38</v>
      </c>
      <c r="G565" s="2">
        <v>8.9200000000000002E-2</v>
      </c>
      <c r="H565" s="2">
        <v>0.68</v>
      </c>
      <c r="I565" s="2">
        <v>0.81399999999999995</v>
      </c>
      <c r="J565" s="2">
        <v>0.64700000000000002</v>
      </c>
      <c r="K565" s="2">
        <v>0.59899999999999998</v>
      </c>
      <c r="L565" s="2">
        <v>0.74399999999999999</v>
      </c>
      <c r="M565" s="2">
        <v>0.61</v>
      </c>
      <c r="N565" s="2">
        <v>0.24</v>
      </c>
      <c r="O565" s="2">
        <v>0.317</v>
      </c>
      <c r="P565" s="2">
        <v>0.53700000000000003</v>
      </c>
      <c r="Q565" s="2">
        <v>0.16500000000000001</v>
      </c>
      <c r="R565" s="2">
        <v>0.13100000000000001</v>
      </c>
      <c r="S565" s="2">
        <v>0.73599999999999999</v>
      </c>
      <c r="T565" s="2">
        <v>0.48299999999999998</v>
      </c>
      <c r="U565" s="2">
        <v>1.2</v>
      </c>
      <c r="V565" s="2">
        <v>1.1000000000000001</v>
      </c>
      <c r="W565" s="2">
        <v>0.82199999999999995</v>
      </c>
      <c r="X565" s="2">
        <v>0.495</v>
      </c>
      <c r="Y565" s="2">
        <v>0.59599999999999997</v>
      </c>
      <c r="Z565" s="2">
        <v>0.67600000000000005</v>
      </c>
      <c r="AA565" s="2">
        <v>0.67700000000000005</v>
      </c>
      <c r="AB565" s="2">
        <v>0.89200000000000002</v>
      </c>
      <c r="AC565" s="2">
        <v>0.58899999999999997</v>
      </c>
      <c r="AD565" s="2">
        <v>0.85199999999999998</v>
      </c>
      <c r="AE565" s="2">
        <v>0.126</v>
      </c>
    </row>
    <row r="566" spans="1:34">
      <c r="A566" s="9" t="s">
        <v>326</v>
      </c>
      <c r="B566" s="4">
        <v>1.2800000000000001E-2</v>
      </c>
      <c r="C566" s="4">
        <v>1.04E-2</v>
      </c>
      <c r="D566" s="3"/>
      <c r="E566" s="4">
        <v>7.3400000000000002E-3</v>
      </c>
      <c r="F566" s="4">
        <v>3.8800000000000001E-2</v>
      </c>
      <c r="G566" s="4">
        <v>4.2900000000000004E-3</v>
      </c>
      <c r="H566" s="4">
        <v>2.5000000000000001E-2</v>
      </c>
      <c r="I566" s="4">
        <v>2.23E-2</v>
      </c>
      <c r="J566" s="4">
        <v>2.87E-2</v>
      </c>
      <c r="K566" s="4">
        <v>1.83E-2</v>
      </c>
      <c r="L566" s="4">
        <v>2.7199999999999998E-2</v>
      </c>
      <c r="M566" s="4">
        <v>4.7499999999999999E-3</v>
      </c>
      <c r="N566" s="4">
        <v>1.82E-3</v>
      </c>
      <c r="O566" s="4">
        <v>3.15E-3</v>
      </c>
      <c r="P566" s="4">
        <v>8.5299999999999994E-3</v>
      </c>
      <c r="Q566" s="4">
        <v>6.8999999999999999E-3</v>
      </c>
      <c r="R566" s="4">
        <v>2.0400000000000001E-3</v>
      </c>
      <c r="S566" s="4">
        <v>3.4299999999999997E-2</v>
      </c>
      <c r="T566" s="4">
        <v>4.1200000000000001E-2</v>
      </c>
      <c r="U566" s="4">
        <v>5.3100000000000001E-2</v>
      </c>
      <c r="V566" s="4">
        <v>3.4200000000000001E-2</v>
      </c>
      <c r="W566" s="4">
        <v>2.41E-2</v>
      </c>
      <c r="X566" s="4">
        <v>1.9900000000000001E-2</v>
      </c>
      <c r="Y566" s="4">
        <v>2.98E-2</v>
      </c>
      <c r="Z566" s="4">
        <v>2.3300000000000001E-2</v>
      </c>
      <c r="AA566" s="4">
        <v>2.2100000000000002E-2</v>
      </c>
      <c r="AB566" s="4">
        <v>6.2399999999999999E-3</v>
      </c>
      <c r="AC566" s="4">
        <v>2.6200000000000001E-2</v>
      </c>
      <c r="AD566" s="4">
        <v>1.95E-2</v>
      </c>
      <c r="AE566" s="4">
        <v>2.0400000000000001E-3</v>
      </c>
    </row>
    <row r="567" spans="1:34">
      <c r="A567" s="9" t="s">
        <v>327</v>
      </c>
      <c r="B567" s="2">
        <v>0.24399999999999999</v>
      </c>
      <c r="C567" s="2">
        <v>0.753</v>
      </c>
      <c r="D567" s="2">
        <v>1.15E-2</v>
      </c>
      <c r="E567" s="2">
        <v>1.9900000000000001E-2</v>
      </c>
      <c r="F567" s="2">
        <v>1.32</v>
      </c>
      <c r="G567" s="2">
        <v>6.2799999999999995E-2</v>
      </c>
      <c r="H567" s="2">
        <v>2.13</v>
      </c>
      <c r="I567" s="2">
        <v>2.15</v>
      </c>
      <c r="J567" s="2">
        <v>2.46</v>
      </c>
      <c r="K567" s="2">
        <v>0.874</v>
      </c>
      <c r="L567" s="2">
        <v>1.6</v>
      </c>
      <c r="M567" s="2">
        <v>9.6199999999999994E-2</v>
      </c>
      <c r="N567" s="2">
        <v>3.27E-2</v>
      </c>
      <c r="O567" s="2">
        <v>5.0900000000000001E-2</v>
      </c>
      <c r="P567" s="2">
        <v>0.30399999999999999</v>
      </c>
      <c r="Q567" s="2">
        <v>8.2000000000000003E-2</v>
      </c>
      <c r="R567" s="2">
        <v>3.7199999999999997E-2</v>
      </c>
      <c r="S567" s="2">
        <v>2.5499999999999998</v>
      </c>
      <c r="T567" s="2">
        <v>2.62</v>
      </c>
      <c r="U567" s="2">
        <v>2.14</v>
      </c>
      <c r="V567" s="2">
        <v>1.88</v>
      </c>
      <c r="W567" s="2">
        <v>1.66</v>
      </c>
      <c r="X567" s="2">
        <v>1.44</v>
      </c>
      <c r="Y567" s="2">
        <v>2.27</v>
      </c>
      <c r="Z567" s="2">
        <v>1.92</v>
      </c>
      <c r="AA567" s="2">
        <v>1.64</v>
      </c>
      <c r="AB567" s="2">
        <v>0.21199999999999999</v>
      </c>
      <c r="AC567" s="2">
        <v>1.91</v>
      </c>
      <c r="AD567" s="2">
        <v>0.9</v>
      </c>
      <c r="AE567" s="2">
        <v>5.0200000000000002E-2</v>
      </c>
    </row>
    <row r="568" spans="1:34">
      <c r="A568" s="9" t="s">
        <v>328</v>
      </c>
      <c r="B568" s="4">
        <v>5.4199999999999998E-2</v>
      </c>
      <c r="C568" s="4">
        <v>2.4899999999999999E-2</v>
      </c>
      <c r="D568" s="4">
        <v>5.3299999999999997E-3</v>
      </c>
      <c r="E568" s="4">
        <v>1.3299999999999999E-2</v>
      </c>
      <c r="F568" s="4">
        <v>0.11700000000000001</v>
      </c>
      <c r="G568" s="4">
        <v>1.52E-2</v>
      </c>
      <c r="H568" s="4">
        <v>0.105</v>
      </c>
      <c r="I568" s="4">
        <v>9.6100000000000005E-2</v>
      </c>
      <c r="J568" s="4">
        <v>0.13900000000000001</v>
      </c>
      <c r="K568" s="4">
        <v>5.5399999999999998E-2</v>
      </c>
      <c r="L568" s="4">
        <v>9.2200000000000004E-2</v>
      </c>
      <c r="M568" s="4">
        <v>4.1099999999999998E-2</v>
      </c>
      <c r="N568" s="4">
        <v>9.7800000000000005E-3</v>
      </c>
      <c r="O568" s="4">
        <v>1.7100000000000001E-2</v>
      </c>
      <c r="P568" s="4">
        <v>7.6300000000000007E-2</v>
      </c>
      <c r="Q568" s="4">
        <v>2.47E-2</v>
      </c>
      <c r="R568" s="4">
        <v>8.2199999999999999E-3</v>
      </c>
      <c r="S568" s="4">
        <v>0.17499999999999999</v>
      </c>
      <c r="T568" s="4">
        <v>8.2600000000000007E-2</v>
      </c>
      <c r="U568" s="4">
        <v>0.191</v>
      </c>
      <c r="V568" s="4">
        <v>0.14199999999999999</v>
      </c>
      <c r="W568" s="4">
        <v>0.14299999999999999</v>
      </c>
      <c r="X568" s="4">
        <v>8.7999999999999995E-2</v>
      </c>
      <c r="Y568" s="4">
        <v>0.156</v>
      </c>
      <c r="Z568" s="4">
        <v>0.124</v>
      </c>
      <c r="AA568" s="4">
        <v>0.115</v>
      </c>
      <c r="AB568" s="4">
        <v>6.6400000000000001E-2</v>
      </c>
      <c r="AC568" s="4">
        <v>8.3400000000000002E-2</v>
      </c>
      <c r="AD568" s="4">
        <v>7.2700000000000001E-2</v>
      </c>
      <c r="AE568" s="4">
        <v>8.3899999999999999E-3</v>
      </c>
    </row>
    <row r="569" spans="1:34">
      <c r="A569" s="9" t="s">
        <v>329</v>
      </c>
      <c r="B569" s="5"/>
      <c r="C569" s="2">
        <v>5.2399999999999999E-3</v>
      </c>
      <c r="D569" s="5"/>
      <c r="E569" s="5"/>
      <c r="F569" s="2">
        <v>2.3199999999999998E-2</v>
      </c>
      <c r="G569" s="5"/>
      <c r="H569" s="2">
        <v>1.0200000000000001E-2</v>
      </c>
      <c r="I569" s="2">
        <v>6.6600000000000001E-3</v>
      </c>
      <c r="J569" s="2">
        <v>9.2999999999999992E-3</v>
      </c>
      <c r="K569" s="2">
        <v>1.17E-2</v>
      </c>
      <c r="L569" s="2">
        <v>6.94E-3</v>
      </c>
      <c r="M569" s="5"/>
      <c r="N569" s="5"/>
      <c r="O569" s="5"/>
      <c r="P569" s="2">
        <v>6.3E-3</v>
      </c>
      <c r="Q569" s="5"/>
      <c r="R569" s="5"/>
      <c r="S569" s="2">
        <v>2.0299999999999999E-2</v>
      </c>
      <c r="T569" s="2">
        <v>1.09E-2</v>
      </c>
      <c r="U569" s="2">
        <v>2.2100000000000002E-2</v>
      </c>
      <c r="V569" s="2">
        <v>2.1000000000000001E-2</v>
      </c>
      <c r="W569" s="2">
        <v>1.2200000000000001E-2</v>
      </c>
      <c r="X569" s="2">
        <v>1.2200000000000001E-2</v>
      </c>
      <c r="Y569" s="2">
        <v>1.5299999999999999E-2</v>
      </c>
      <c r="Z569" s="2">
        <v>1.44E-2</v>
      </c>
      <c r="AA569" s="2">
        <v>1.26E-2</v>
      </c>
      <c r="AB569" s="5"/>
      <c r="AC569" s="2">
        <v>7.1500000000000001E-3</v>
      </c>
      <c r="AD569" s="2">
        <v>1.83E-2</v>
      </c>
      <c r="AE569" s="5"/>
    </row>
    <row r="570" spans="1:34">
      <c r="A570" s="9" t="s">
        <v>759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4">
      <c r="A571" s="9" t="s">
        <v>330</v>
      </c>
      <c r="B571" s="2">
        <v>0.14599999999999999</v>
      </c>
      <c r="C571" s="2">
        <v>0.183</v>
      </c>
      <c r="D571" s="2">
        <v>0.217</v>
      </c>
      <c r="E571" s="2">
        <v>1.34E-2</v>
      </c>
      <c r="F571" s="2">
        <v>0.56899999999999995</v>
      </c>
      <c r="G571" s="2">
        <v>4.4900000000000002E-2</v>
      </c>
      <c r="H571" s="2">
        <v>0.61399999999999999</v>
      </c>
      <c r="I571" s="2">
        <v>0.628</v>
      </c>
      <c r="J571" s="2">
        <v>0.81799999999999995</v>
      </c>
      <c r="K571" s="2">
        <v>0.32600000000000001</v>
      </c>
      <c r="L571" s="2">
        <v>0.44</v>
      </c>
      <c r="M571" s="2">
        <v>9.8299999999999998E-2</v>
      </c>
      <c r="N571" s="2">
        <v>1.6799999999999999E-2</v>
      </c>
      <c r="O571" s="2">
        <v>4.36E-2</v>
      </c>
      <c r="P571" s="2">
        <v>0.187</v>
      </c>
      <c r="Q571" s="2">
        <v>7.1999999999999995E-2</v>
      </c>
      <c r="R571" s="2">
        <v>2.0799999999999999E-2</v>
      </c>
      <c r="S571" s="2">
        <v>0.64100000000000001</v>
      </c>
      <c r="T571" s="2">
        <v>0.25900000000000001</v>
      </c>
      <c r="U571" s="2">
        <v>0.73799999999999999</v>
      </c>
      <c r="V571" s="2">
        <v>0.54600000000000004</v>
      </c>
      <c r="W571" s="2">
        <v>0.57599999999999996</v>
      </c>
      <c r="X571" s="2">
        <v>0.42399999999999999</v>
      </c>
      <c r="Y571" s="2">
        <v>0.73799999999999999</v>
      </c>
      <c r="Z571" s="2">
        <v>0.57099999999999995</v>
      </c>
      <c r="AA571" s="2">
        <v>0.56999999999999995</v>
      </c>
      <c r="AB571" s="2">
        <v>0.14199999999999999</v>
      </c>
      <c r="AC571" s="2">
        <v>0.54200000000000004</v>
      </c>
      <c r="AD571" s="2">
        <v>0.32400000000000001</v>
      </c>
      <c r="AE571" s="2">
        <v>3.78E-2</v>
      </c>
    </row>
    <row r="572" spans="1:34">
      <c r="A572" s="9" t="s">
        <v>331</v>
      </c>
      <c r="B572" s="4">
        <v>2.1299999999999999E-2</v>
      </c>
      <c r="C572" s="4">
        <v>8.9499999999999996E-2</v>
      </c>
      <c r="D572" s="4">
        <v>2.9700000000000001E-2</v>
      </c>
      <c r="E572" s="3"/>
      <c r="F572" s="3"/>
      <c r="G572" s="4">
        <v>0.26200000000000001</v>
      </c>
      <c r="H572" s="4">
        <v>0.17499999999999999</v>
      </c>
      <c r="I572" s="4">
        <v>0.154</v>
      </c>
      <c r="J572" s="4">
        <v>0.20699999999999999</v>
      </c>
      <c r="K572" s="3"/>
      <c r="L572" s="4">
        <v>0.17799999999999999</v>
      </c>
      <c r="M572" s="4">
        <v>1.18E-2</v>
      </c>
      <c r="N572" s="4">
        <v>3.8500000000000001E-3</v>
      </c>
      <c r="O572" s="4">
        <v>1.0800000000000001E-2</v>
      </c>
      <c r="P572" s="4">
        <v>1.7600000000000001E-2</v>
      </c>
      <c r="Q572" s="3"/>
      <c r="R572" s="4">
        <v>0.214</v>
      </c>
      <c r="S572" s="4">
        <v>8.72E-2</v>
      </c>
      <c r="T572" s="3"/>
      <c r="U572" s="3"/>
      <c r="V572" s="3"/>
      <c r="W572" s="4">
        <v>0.114</v>
      </c>
      <c r="X572" s="4">
        <v>1.5900000000000001E-2</v>
      </c>
      <c r="Y572" s="4">
        <v>4.99E-2</v>
      </c>
      <c r="Z572" s="4">
        <v>2.18E-2</v>
      </c>
      <c r="AA572" s="4">
        <v>7.6200000000000004E-2</v>
      </c>
      <c r="AB572" s="4">
        <v>1.0699999999999999E-2</v>
      </c>
      <c r="AC572" s="4">
        <v>0.16900000000000001</v>
      </c>
      <c r="AD572" s="3"/>
      <c r="AE572" s="4">
        <v>0.09</v>
      </c>
    </row>
    <row r="573" spans="1:34">
      <c r="A573" s="9" t="s">
        <v>332</v>
      </c>
      <c r="B573" s="2">
        <v>0.62</v>
      </c>
      <c r="C573" s="2">
        <v>0.51800000000000002</v>
      </c>
      <c r="D573" s="2">
        <v>0.51200000000000001</v>
      </c>
      <c r="E573" s="2">
        <v>0.68400000000000005</v>
      </c>
      <c r="F573" s="2">
        <v>1.21</v>
      </c>
      <c r="G573" s="2">
        <v>0.36599999999999999</v>
      </c>
      <c r="H573" s="2">
        <v>0.94099999999999995</v>
      </c>
      <c r="I573" s="2">
        <v>0.82399999999999995</v>
      </c>
      <c r="J573" s="2">
        <v>0.92800000000000005</v>
      </c>
      <c r="K573" s="2">
        <v>1.1000000000000001</v>
      </c>
      <c r="L573" s="2">
        <v>0.79100000000000004</v>
      </c>
      <c r="M573" s="2">
        <v>0.61199999999999999</v>
      </c>
      <c r="N573" s="2">
        <v>0.35899999999999999</v>
      </c>
      <c r="O573" s="2">
        <v>0.48399999999999999</v>
      </c>
      <c r="P573" s="2">
        <v>0.60599999999999998</v>
      </c>
      <c r="Q573" s="2">
        <v>1.01</v>
      </c>
      <c r="R573" s="2">
        <v>0.30299999999999999</v>
      </c>
      <c r="S573" s="2">
        <v>0.98499999999999999</v>
      </c>
      <c r="T573" s="2">
        <v>0.67300000000000004</v>
      </c>
      <c r="U573" s="2">
        <v>0.78800000000000003</v>
      </c>
      <c r="V573" s="2">
        <v>0.87</v>
      </c>
      <c r="W573" s="2">
        <v>0.74</v>
      </c>
      <c r="X573" s="2">
        <v>0.55700000000000005</v>
      </c>
      <c r="Y573" s="2">
        <v>0.59799999999999998</v>
      </c>
      <c r="Z573" s="2">
        <v>0.624</v>
      </c>
      <c r="AA573" s="2">
        <v>0.58499999999999996</v>
      </c>
      <c r="AB573" s="2">
        <v>0.76300000000000001</v>
      </c>
      <c r="AC573" s="2">
        <v>0.79300000000000004</v>
      </c>
      <c r="AD573" s="2">
        <v>1.25</v>
      </c>
      <c r="AE573" s="2">
        <v>0.20899999999999999</v>
      </c>
    </row>
    <row r="574" spans="1:34">
      <c r="A574" s="9" t="s">
        <v>333</v>
      </c>
      <c r="B574" s="4">
        <v>0.13700000000000001</v>
      </c>
      <c r="C574" s="4">
        <v>0.126</v>
      </c>
      <c r="D574" s="4">
        <v>0.115</v>
      </c>
      <c r="E574" s="4">
        <v>9.4600000000000004E-2</v>
      </c>
      <c r="F574" s="4">
        <v>0.17199999999999999</v>
      </c>
      <c r="G574" s="4">
        <v>0.108</v>
      </c>
      <c r="H574" s="4">
        <v>0.23300000000000001</v>
      </c>
      <c r="I574" s="4">
        <v>0.193</v>
      </c>
      <c r="J574" s="4">
        <v>0.224</v>
      </c>
      <c r="K574" s="4">
        <v>0.154</v>
      </c>
      <c r="L574" s="4">
        <v>0.16900000000000001</v>
      </c>
      <c r="M574" s="4">
        <v>0.158</v>
      </c>
      <c r="N574" s="4">
        <v>9.0499999999999997E-2</v>
      </c>
      <c r="O574" s="4">
        <v>0.122</v>
      </c>
      <c r="P574" s="4">
        <v>0.16300000000000001</v>
      </c>
      <c r="Q574" s="4">
        <v>0.14099999999999999</v>
      </c>
      <c r="R574" s="4">
        <v>8.8700000000000001E-2</v>
      </c>
      <c r="S574" s="4">
        <v>0.20599999999999999</v>
      </c>
      <c r="T574" s="4">
        <v>0.14099999999999999</v>
      </c>
      <c r="U574" s="4">
        <v>0.157</v>
      </c>
      <c r="V574" s="4">
        <v>0.17100000000000001</v>
      </c>
      <c r="W574" s="4">
        <v>0.158</v>
      </c>
      <c r="X574" s="4">
        <v>0.14499999999999999</v>
      </c>
      <c r="Y574" s="4">
        <v>0.14599999999999999</v>
      </c>
      <c r="Z574" s="4">
        <v>0.14599999999999999</v>
      </c>
      <c r="AA574" s="4">
        <v>0.14099999999999999</v>
      </c>
      <c r="AB574" s="4">
        <v>0.17199999999999999</v>
      </c>
      <c r="AC574" s="4">
        <v>0.19400000000000001</v>
      </c>
      <c r="AD574" s="4">
        <v>0.17</v>
      </c>
      <c r="AE574" s="4">
        <v>5.9299999999999999E-2</v>
      </c>
    </row>
    <row r="575" spans="1:34">
      <c r="A575" s="9" t="s">
        <v>334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2">
        <v>0.10199999999999999</v>
      </c>
      <c r="V575" s="2">
        <v>2.4500000000000001E-2</v>
      </c>
      <c r="W575" s="2">
        <v>0.224</v>
      </c>
      <c r="X575" s="2">
        <v>0.121</v>
      </c>
      <c r="Y575" s="2">
        <v>0.16600000000000001</v>
      </c>
      <c r="Z575" s="2">
        <v>0.15</v>
      </c>
      <c r="AA575" s="5"/>
      <c r="AB575" s="5"/>
      <c r="AC575" s="5"/>
      <c r="AD575" s="5"/>
      <c r="AE575" s="5"/>
    </row>
    <row r="576" spans="1:34">
      <c r="A576" s="9" t="s">
        <v>335</v>
      </c>
      <c r="B576" s="4">
        <v>9.3299999999999994E-2</v>
      </c>
      <c r="C576" s="4">
        <v>5.6300000000000003E-2</v>
      </c>
      <c r="D576" s="4">
        <v>6.7100000000000007E-2</v>
      </c>
      <c r="E576" s="4">
        <v>2.64E-2</v>
      </c>
      <c r="F576" s="4">
        <v>6.54E-2</v>
      </c>
      <c r="G576" s="4">
        <v>3.6999999999999998E-2</v>
      </c>
      <c r="H576" s="4">
        <v>0.16200000000000001</v>
      </c>
      <c r="I576" s="4">
        <v>0.16500000000000001</v>
      </c>
      <c r="J576" s="4">
        <v>0.17599999999999999</v>
      </c>
      <c r="K576" s="4">
        <v>6.9400000000000003E-2</v>
      </c>
      <c r="L576" s="4">
        <v>0.14099999999999999</v>
      </c>
      <c r="M576" s="4">
        <v>0.109</v>
      </c>
      <c r="N576" s="4">
        <v>2.58E-2</v>
      </c>
      <c r="O576" s="4">
        <v>3.8800000000000001E-2</v>
      </c>
      <c r="P576" s="4">
        <v>0.104</v>
      </c>
      <c r="Q576" s="4">
        <v>6.5500000000000003E-2</v>
      </c>
      <c r="R576" s="4">
        <v>5.2200000000000003E-2</v>
      </c>
      <c r="S576" s="4">
        <v>0.18099999999999999</v>
      </c>
      <c r="T576" s="4">
        <v>0.105</v>
      </c>
      <c r="U576" s="4">
        <v>0.185</v>
      </c>
      <c r="V576" s="4">
        <v>0.155</v>
      </c>
      <c r="W576" s="4">
        <v>0.11700000000000001</v>
      </c>
      <c r="X576" s="4">
        <v>6.7599999999999993E-2</v>
      </c>
      <c r="Y576" s="4">
        <v>0.13200000000000001</v>
      </c>
      <c r="Z576" s="4">
        <v>0.105</v>
      </c>
      <c r="AA576" s="4">
        <v>9.5699999999999993E-2</v>
      </c>
      <c r="AB576" s="4">
        <v>0.13500000000000001</v>
      </c>
      <c r="AC576" s="4">
        <v>0.11</v>
      </c>
      <c r="AD576" s="4">
        <v>6.9900000000000004E-2</v>
      </c>
      <c r="AE576" s="4">
        <v>2.63E-2</v>
      </c>
    </row>
    <row r="577" spans="1:31">
      <c r="A577" s="9" t="s">
        <v>336</v>
      </c>
      <c r="B577" s="5"/>
      <c r="C577" s="5"/>
      <c r="D577" s="5"/>
      <c r="E577" s="5"/>
      <c r="F577" s="5"/>
      <c r="G577" s="5"/>
      <c r="H577" s="2">
        <v>0.13700000000000001</v>
      </c>
      <c r="I577" s="2">
        <v>0.13700000000000001</v>
      </c>
      <c r="J577" s="2">
        <v>0.13100000000000001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2">
        <v>0.123</v>
      </c>
      <c r="V577" s="2">
        <v>5.7599999999999998E-2</v>
      </c>
      <c r="W577" s="5"/>
      <c r="X577" s="5"/>
      <c r="Y577" s="5"/>
      <c r="Z577" s="5"/>
      <c r="AA577" s="5"/>
      <c r="AB577" s="5"/>
      <c r="AC577" s="2">
        <v>0.16300000000000001</v>
      </c>
      <c r="AD577" s="5"/>
      <c r="AE577" s="5"/>
    </row>
    <row r="578" spans="1:31">
      <c r="A578" s="9" t="s">
        <v>337</v>
      </c>
      <c r="B578" s="3"/>
      <c r="C578" s="4">
        <v>2.18E-2</v>
      </c>
      <c r="D578" s="4">
        <v>2.41E-2</v>
      </c>
      <c r="E578" s="3"/>
      <c r="F578" s="4">
        <v>5.45E-2</v>
      </c>
      <c r="G578" s="4">
        <v>7.9500000000000005E-3</v>
      </c>
      <c r="H578" s="4">
        <v>5.4899999999999997E-2</v>
      </c>
      <c r="I578" s="4">
        <v>4.4999999999999998E-2</v>
      </c>
      <c r="J578" s="4">
        <v>4.4400000000000002E-2</v>
      </c>
      <c r="K578" s="4">
        <v>2.6499999999999999E-2</v>
      </c>
      <c r="L578" s="4">
        <v>4.1500000000000002E-2</v>
      </c>
      <c r="M578" s="3"/>
      <c r="N578" s="4">
        <v>6.8300000000000001E-3</v>
      </c>
      <c r="O578" s="3"/>
      <c r="P578" s="3"/>
      <c r="Q578" s="4">
        <v>6.4599999999999996E-3</v>
      </c>
      <c r="R578" s="4">
        <v>3.47E-3</v>
      </c>
      <c r="S578" s="4">
        <v>5.28E-2</v>
      </c>
      <c r="T578" s="4">
        <v>3.5499999999999997E-2</v>
      </c>
      <c r="U578" s="4">
        <v>4.7E-2</v>
      </c>
      <c r="V578" s="4">
        <v>3.0599999999999999E-2</v>
      </c>
      <c r="W578" s="4">
        <v>4.3200000000000002E-2</v>
      </c>
      <c r="X578" s="4">
        <v>1.49E-2</v>
      </c>
      <c r="Y578" s="4">
        <v>3.78E-2</v>
      </c>
      <c r="Z578" s="4">
        <v>1.0500000000000001E-2</v>
      </c>
      <c r="AA578" s="4">
        <v>3.5799999999999998E-2</v>
      </c>
      <c r="AB578" s="4">
        <v>2.7300000000000001E-2</v>
      </c>
      <c r="AC578" s="4">
        <v>3.7699999999999997E-2</v>
      </c>
      <c r="AD578" s="4">
        <v>2.7900000000000001E-2</v>
      </c>
      <c r="AE578" s="4">
        <v>4.6800000000000001E-3</v>
      </c>
    </row>
    <row r="579" spans="1:31">
      <c r="A579" s="9" t="s">
        <v>338</v>
      </c>
      <c r="B579" s="5"/>
      <c r="C579" s="5"/>
      <c r="D579" s="5"/>
      <c r="E579" s="5"/>
      <c r="F579" s="5"/>
      <c r="G579" s="5"/>
      <c r="H579" s="5"/>
      <c r="I579" s="2">
        <v>3.3599999999999998E-2</v>
      </c>
      <c r="J579" s="5"/>
      <c r="K579" s="5"/>
      <c r="L579" s="5"/>
      <c r="M579" s="5"/>
      <c r="N579" s="5"/>
      <c r="O579" s="5"/>
      <c r="P579" s="5"/>
      <c r="Q579" s="5"/>
      <c r="R579" s="2">
        <v>7.6699999999999997E-3</v>
      </c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spans="1:31" ht="17" thickBot="1">
      <c r="A580" s="81" t="s">
        <v>760</v>
      </c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5028-D318-D34F-A4E2-011040E88BD8}">
  <dimension ref="A1:D580"/>
  <sheetViews>
    <sheetView workbookViewId="0">
      <selection activeCell="F10" sqref="F10"/>
    </sheetView>
  </sheetViews>
  <sheetFormatPr baseColWidth="10" defaultRowHeight="16"/>
  <cols>
    <col min="1" max="1" width="58.1640625" bestFit="1" customWidth="1"/>
  </cols>
  <sheetData>
    <row r="1" spans="1:4">
      <c r="A1" s="6" t="s">
        <v>412</v>
      </c>
      <c r="B1" s="1" t="s">
        <v>400</v>
      </c>
      <c r="C1" s="1" t="s">
        <v>416</v>
      </c>
      <c r="D1" s="76" t="s">
        <v>417</v>
      </c>
    </row>
    <row r="2" spans="1:4">
      <c r="A2" s="7" t="s">
        <v>418</v>
      </c>
      <c r="B2" s="3"/>
      <c r="C2" s="4">
        <v>0</v>
      </c>
      <c r="D2" s="68"/>
    </row>
    <row r="3" spans="1:4">
      <c r="A3" s="7" t="s">
        <v>419</v>
      </c>
      <c r="B3" s="5"/>
      <c r="C3" s="2">
        <v>0</v>
      </c>
      <c r="D3" s="77"/>
    </row>
    <row r="4" spans="1:4">
      <c r="A4" s="7" t="s">
        <v>420</v>
      </c>
      <c r="B4" s="3"/>
      <c r="C4" s="4">
        <v>0</v>
      </c>
      <c r="D4" s="68"/>
    </row>
    <row r="5" spans="1:4">
      <c r="A5" s="7" t="s">
        <v>421</v>
      </c>
      <c r="B5" s="5"/>
      <c r="C5" s="2">
        <v>0</v>
      </c>
      <c r="D5" s="77"/>
    </row>
    <row r="6" spans="1:4">
      <c r="A6" s="7" t="s">
        <v>104</v>
      </c>
      <c r="B6" s="4">
        <v>0.128</v>
      </c>
      <c r="C6" s="3"/>
      <c r="D6" s="78">
        <v>0</v>
      </c>
    </row>
    <row r="7" spans="1:4">
      <c r="A7" s="7" t="s">
        <v>422</v>
      </c>
      <c r="B7" s="5"/>
      <c r="C7" s="2">
        <v>0</v>
      </c>
      <c r="D7" s="77"/>
    </row>
    <row r="8" spans="1:4">
      <c r="A8" s="7" t="s">
        <v>423</v>
      </c>
      <c r="B8" s="3"/>
      <c r="C8" s="4">
        <v>0</v>
      </c>
      <c r="D8" s="68"/>
    </row>
    <row r="9" spans="1:4">
      <c r="A9" s="7" t="s">
        <v>424</v>
      </c>
      <c r="B9" s="5"/>
      <c r="C9" s="2">
        <v>0</v>
      </c>
      <c r="D9" s="77"/>
    </row>
    <row r="10" spans="1:4">
      <c r="A10" s="7" t="s">
        <v>425</v>
      </c>
      <c r="B10" s="3"/>
      <c r="C10" s="4">
        <v>0</v>
      </c>
      <c r="D10" s="68"/>
    </row>
    <row r="11" spans="1:4">
      <c r="A11" s="7" t="s">
        <v>426</v>
      </c>
      <c r="B11" s="5"/>
      <c r="C11" s="2">
        <v>0</v>
      </c>
      <c r="D11" s="77"/>
    </row>
    <row r="12" spans="1:4">
      <c r="A12" s="7" t="s">
        <v>427</v>
      </c>
      <c r="B12" s="3"/>
      <c r="C12" s="4">
        <v>0</v>
      </c>
      <c r="D12" s="68"/>
    </row>
    <row r="13" spans="1:4">
      <c r="A13" s="7" t="s">
        <v>428</v>
      </c>
      <c r="B13" s="5"/>
      <c r="C13" s="2">
        <v>0</v>
      </c>
      <c r="D13" s="77"/>
    </row>
    <row r="14" spans="1:4">
      <c r="A14" s="7" t="s">
        <v>429</v>
      </c>
      <c r="B14" s="3"/>
      <c r="C14" s="4">
        <v>0</v>
      </c>
      <c r="D14" s="68"/>
    </row>
    <row r="15" spans="1:4">
      <c r="A15" s="7" t="s">
        <v>430</v>
      </c>
      <c r="B15" s="5"/>
      <c r="C15" s="2">
        <v>0</v>
      </c>
      <c r="D15" s="77"/>
    </row>
    <row r="16" spans="1:4">
      <c r="A16" s="7" t="s">
        <v>431</v>
      </c>
      <c r="B16" s="3"/>
      <c r="C16" s="4">
        <v>0</v>
      </c>
      <c r="D16" s="68"/>
    </row>
    <row r="17" spans="1:4">
      <c r="A17" s="7" t="s">
        <v>432</v>
      </c>
      <c r="B17" s="5"/>
      <c r="C17" s="2">
        <v>0</v>
      </c>
      <c r="D17" s="77"/>
    </row>
    <row r="18" spans="1:4">
      <c r="A18" s="7" t="s">
        <v>105</v>
      </c>
      <c r="B18" s="3"/>
      <c r="C18" s="4">
        <v>0</v>
      </c>
      <c r="D18" s="68"/>
    </row>
    <row r="19" spans="1:4">
      <c r="A19" s="7" t="s">
        <v>433</v>
      </c>
      <c r="B19" s="5"/>
      <c r="C19" s="2">
        <v>0</v>
      </c>
      <c r="D19" s="77"/>
    </row>
    <row r="20" spans="1:4">
      <c r="A20" s="7" t="s">
        <v>434</v>
      </c>
      <c r="B20" s="3"/>
      <c r="C20" s="4">
        <v>0</v>
      </c>
      <c r="D20" s="68"/>
    </row>
    <row r="21" spans="1:4">
      <c r="A21" s="7" t="s">
        <v>435</v>
      </c>
      <c r="B21" s="5"/>
      <c r="C21" s="2">
        <v>0</v>
      </c>
      <c r="D21" s="77"/>
    </row>
    <row r="22" spans="1:4">
      <c r="A22" s="7" t="s">
        <v>436</v>
      </c>
      <c r="B22" s="3"/>
      <c r="C22" s="4">
        <v>0</v>
      </c>
      <c r="D22" s="68"/>
    </row>
    <row r="23" spans="1:4">
      <c r="A23" s="7" t="s">
        <v>106</v>
      </c>
      <c r="B23" s="2">
        <v>0.124</v>
      </c>
      <c r="C23" s="2">
        <v>2.52E-2</v>
      </c>
      <c r="D23" s="79">
        <v>20.3</v>
      </c>
    </row>
    <row r="24" spans="1:4">
      <c r="A24" s="7" t="s">
        <v>437</v>
      </c>
      <c r="B24" s="3"/>
      <c r="C24" s="4">
        <v>0</v>
      </c>
      <c r="D24" s="68"/>
    </row>
    <row r="25" spans="1:4">
      <c r="A25" s="7" t="s">
        <v>438</v>
      </c>
      <c r="B25" s="5"/>
      <c r="C25" s="2">
        <v>0</v>
      </c>
      <c r="D25" s="77"/>
    </row>
    <row r="26" spans="1:4">
      <c r="A26" s="7" t="s">
        <v>107</v>
      </c>
      <c r="B26" s="4">
        <v>5.7099999999999998E-2</v>
      </c>
      <c r="C26" s="4">
        <v>2.2200000000000001E-2</v>
      </c>
      <c r="D26" s="78">
        <v>38.799999999999997</v>
      </c>
    </row>
    <row r="27" spans="1:4">
      <c r="A27" s="7" t="s">
        <v>108</v>
      </c>
      <c r="B27" s="2">
        <v>1.97</v>
      </c>
      <c r="C27" s="2">
        <v>2.81</v>
      </c>
      <c r="D27" s="79">
        <v>143</v>
      </c>
    </row>
    <row r="28" spans="1:4">
      <c r="A28" s="7" t="s">
        <v>109</v>
      </c>
      <c r="B28" s="4">
        <v>0.28100000000000003</v>
      </c>
      <c r="C28" s="3"/>
      <c r="D28" s="78">
        <v>0</v>
      </c>
    </row>
    <row r="29" spans="1:4">
      <c r="A29" s="7" t="s">
        <v>110</v>
      </c>
      <c r="B29" s="2">
        <v>7.9500000000000001E-2</v>
      </c>
      <c r="C29" s="5"/>
      <c r="D29" s="79">
        <v>0</v>
      </c>
    </row>
    <row r="30" spans="1:4">
      <c r="A30" s="7" t="s">
        <v>111</v>
      </c>
      <c r="B30" s="4">
        <v>6.9500000000000006E-2</v>
      </c>
      <c r="C30" s="4">
        <v>8.0999999999999996E-3</v>
      </c>
      <c r="D30" s="78">
        <v>11.6</v>
      </c>
    </row>
    <row r="31" spans="1:4">
      <c r="A31" s="7" t="s">
        <v>112</v>
      </c>
      <c r="B31" s="2">
        <v>0.32</v>
      </c>
      <c r="C31" s="2">
        <v>0.40500000000000003</v>
      </c>
      <c r="D31" s="79">
        <v>126</v>
      </c>
    </row>
    <row r="32" spans="1:4">
      <c r="A32" s="7" t="s">
        <v>113</v>
      </c>
      <c r="B32" s="4">
        <v>5.0700000000000002E-2</v>
      </c>
      <c r="C32" s="4">
        <v>1.9400000000000001E-2</v>
      </c>
      <c r="D32" s="78">
        <v>38.299999999999997</v>
      </c>
    </row>
    <row r="33" spans="1:4">
      <c r="A33" s="7" t="s">
        <v>439</v>
      </c>
      <c r="B33" s="5"/>
      <c r="C33" s="2">
        <v>0</v>
      </c>
      <c r="D33" s="77"/>
    </row>
    <row r="34" spans="1:4">
      <c r="A34" s="7" t="s">
        <v>440</v>
      </c>
      <c r="B34" s="3"/>
      <c r="C34" s="4">
        <v>0</v>
      </c>
      <c r="D34" s="68"/>
    </row>
    <row r="35" spans="1:4">
      <c r="A35" s="7" t="s">
        <v>441</v>
      </c>
      <c r="B35" s="5"/>
      <c r="C35" s="2">
        <v>0</v>
      </c>
      <c r="D35" s="77"/>
    </row>
    <row r="36" spans="1:4">
      <c r="A36" s="7" t="s">
        <v>114</v>
      </c>
      <c r="B36" s="3"/>
      <c r="C36" s="4">
        <v>0</v>
      </c>
      <c r="D36" s="68"/>
    </row>
    <row r="37" spans="1:4">
      <c r="A37" s="7" t="s">
        <v>442</v>
      </c>
      <c r="B37" s="5"/>
      <c r="C37" s="2">
        <v>0</v>
      </c>
      <c r="D37" s="77"/>
    </row>
    <row r="38" spans="1:4">
      <c r="A38" s="7" t="s">
        <v>443</v>
      </c>
      <c r="B38" s="3"/>
      <c r="C38" s="4">
        <v>0</v>
      </c>
      <c r="D38" s="68"/>
    </row>
    <row r="39" spans="1:4">
      <c r="A39" s="7" t="s">
        <v>115</v>
      </c>
      <c r="B39" s="2">
        <v>2.3E-2</v>
      </c>
      <c r="C39" s="2">
        <v>1.0999999999999999E-2</v>
      </c>
      <c r="D39" s="79">
        <v>47.9</v>
      </c>
    </row>
    <row r="40" spans="1:4">
      <c r="A40" s="7" t="s">
        <v>116</v>
      </c>
      <c r="B40" s="4">
        <v>3.1899999999999998E-2</v>
      </c>
      <c r="C40" s="4">
        <v>1.2500000000000001E-2</v>
      </c>
      <c r="D40" s="78">
        <v>39.299999999999997</v>
      </c>
    </row>
    <row r="41" spans="1:4">
      <c r="A41" s="7" t="s">
        <v>444</v>
      </c>
      <c r="B41" s="5"/>
      <c r="C41" s="2">
        <v>0</v>
      </c>
      <c r="D41" s="77"/>
    </row>
    <row r="42" spans="1:4">
      <c r="A42" s="7" t="s">
        <v>117</v>
      </c>
      <c r="B42" s="4">
        <v>9.2700000000000005E-3</v>
      </c>
      <c r="C42" s="3"/>
      <c r="D42" s="78">
        <v>0</v>
      </c>
    </row>
    <row r="43" spans="1:4">
      <c r="A43" s="7" t="s">
        <v>118</v>
      </c>
      <c r="B43" s="2">
        <v>0.11799999999999999</v>
      </c>
      <c r="C43" s="5"/>
      <c r="D43" s="79">
        <v>0</v>
      </c>
    </row>
    <row r="44" spans="1:4">
      <c r="A44" s="7" t="s">
        <v>445</v>
      </c>
      <c r="B44" s="3"/>
      <c r="C44" s="4">
        <v>0</v>
      </c>
      <c r="D44" s="68"/>
    </row>
    <row r="45" spans="1:4">
      <c r="A45" s="7" t="s">
        <v>446</v>
      </c>
      <c r="B45" s="5"/>
      <c r="C45" s="2">
        <v>0</v>
      </c>
      <c r="D45" s="77"/>
    </row>
    <row r="46" spans="1:4">
      <c r="A46" s="7" t="s">
        <v>447</v>
      </c>
      <c r="B46" s="3"/>
      <c r="C46" s="4">
        <v>0</v>
      </c>
      <c r="D46" s="68"/>
    </row>
    <row r="47" spans="1:4">
      <c r="A47" s="7" t="s">
        <v>448</v>
      </c>
      <c r="B47" s="5"/>
      <c r="C47" s="2">
        <v>0</v>
      </c>
      <c r="D47" s="77"/>
    </row>
    <row r="48" spans="1:4">
      <c r="A48" s="7" t="s">
        <v>449</v>
      </c>
      <c r="B48" s="3"/>
      <c r="C48" s="4">
        <v>0</v>
      </c>
      <c r="D48" s="68"/>
    </row>
    <row r="49" spans="1:4">
      <c r="A49" s="7" t="s">
        <v>450</v>
      </c>
      <c r="B49" s="5"/>
      <c r="C49" s="2">
        <v>0</v>
      </c>
      <c r="D49" s="77"/>
    </row>
    <row r="50" spans="1:4">
      <c r="A50" s="7" t="s">
        <v>119</v>
      </c>
      <c r="B50" s="4">
        <v>6.8599999999999994E-2</v>
      </c>
      <c r="C50" s="4">
        <v>2.06E-2</v>
      </c>
      <c r="D50" s="78">
        <v>30</v>
      </c>
    </row>
    <row r="51" spans="1:4">
      <c r="A51" s="7" t="s">
        <v>451</v>
      </c>
      <c r="B51" s="5"/>
      <c r="C51" s="2">
        <v>0</v>
      </c>
      <c r="D51" s="77"/>
    </row>
    <row r="52" spans="1:4">
      <c r="A52" s="7" t="s">
        <v>452</v>
      </c>
      <c r="B52" s="3"/>
      <c r="C52" s="4">
        <v>0</v>
      </c>
      <c r="D52" s="68"/>
    </row>
    <row r="53" spans="1:4">
      <c r="A53" s="7" t="s">
        <v>453</v>
      </c>
      <c r="B53" s="5"/>
      <c r="C53" s="2">
        <v>0</v>
      </c>
      <c r="D53" s="77"/>
    </row>
    <row r="54" spans="1:4">
      <c r="A54" s="7" t="s">
        <v>454</v>
      </c>
      <c r="B54" s="3"/>
      <c r="C54" s="4">
        <v>0</v>
      </c>
      <c r="D54" s="68"/>
    </row>
    <row r="55" spans="1:4">
      <c r="A55" s="7" t="s">
        <v>120</v>
      </c>
      <c r="B55" s="5"/>
      <c r="C55" s="2">
        <v>0</v>
      </c>
      <c r="D55" s="77"/>
    </row>
    <row r="56" spans="1:4">
      <c r="A56" s="7" t="s">
        <v>455</v>
      </c>
      <c r="B56" s="3"/>
      <c r="C56" s="4">
        <v>0</v>
      </c>
      <c r="D56" s="68"/>
    </row>
    <row r="57" spans="1:4">
      <c r="A57" s="7" t="s">
        <v>456</v>
      </c>
      <c r="B57" s="5"/>
      <c r="C57" s="2">
        <v>0</v>
      </c>
      <c r="D57" s="77"/>
    </row>
    <row r="58" spans="1:4">
      <c r="A58" s="7" t="s">
        <v>457</v>
      </c>
      <c r="B58" s="3"/>
      <c r="C58" s="4">
        <v>0</v>
      </c>
      <c r="D58" s="68"/>
    </row>
    <row r="59" spans="1:4">
      <c r="A59" s="7" t="s">
        <v>458</v>
      </c>
      <c r="B59" s="5"/>
      <c r="C59" s="2">
        <v>0</v>
      </c>
      <c r="D59" s="77"/>
    </row>
    <row r="60" spans="1:4">
      <c r="A60" s="7" t="s">
        <v>121</v>
      </c>
      <c r="B60" s="4">
        <v>7.9500000000000001E-2</v>
      </c>
      <c r="C60" s="3"/>
      <c r="D60" s="78">
        <v>0</v>
      </c>
    </row>
    <row r="61" spans="1:4">
      <c r="A61" s="7" t="s">
        <v>122</v>
      </c>
      <c r="B61" s="2">
        <v>3.0099999999999998E-2</v>
      </c>
      <c r="C61" s="5"/>
      <c r="D61" s="79">
        <v>0</v>
      </c>
    </row>
    <row r="62" spans="1:4">
      <c r="A62" s="7" t="s">
        <v>459</v>
      </c>
      <c r="B62" s="3"/>
      <c r="C62" s="4">
        <v>0</v>
      </c>
      <c r="D62" s="68"/>
    </row>
    <row r="63" spans="1:4">
      <c r="A63" s="7" t="s">
        <v>123</v>
      </c>
      <c r="B63" s="2">
        <v>3.47</v>
      </c>
      <c r="C63" s="2">
        <v>0.5</v>
      </c>
      <c r="D63" s="79">
        <v>14.4</v>
      </c>
    </row>
    <row r="64" spans="1:4">
      <c r="A64" s="7" t="s">
        <v>460</v>
      </c>
      <c r="B64" s="3"/>
      <c r="C64" s="4">
        <v>0</v>
      </c>
      <c r="D64" s="68"/>
    </row>
    <row r="65" spans="1:4">
      <c r="A65" s="7" t="s">
        <v>461</v>
      </c>
      <c r="B65" s="5"/>
      <c r="C65" s="2">
        <v>0</v>
      </c>
      <c r="D65" s="77"/>
    </row>
    <row r="66" spans="1:4">
      <c r="A66" s="7" t="s">
        <v>124</v>
      </c>
      <c r="B66" s="4">
        <v>9.3899999999999997E-2</v>
      </c>
      <c r="C66" s="4">
        <v>2.75E-2</v>
      </c>
      <c r="D66" s="78">
        <v>29.3</v>
      </c>
    </row>
    <row r="67" spans="1:4">
      <c r="A67" s="7" t="s">
        <v>462</v>
      </c>
      <c r="B67" s="5"/>
      <c r="C67" s="2">
        <v>0</v>
      </c>
      <c r="D67" s="77"/>
    </row>
    <row r="68" spans="1:4">
      <c r="A68" s="7" t="s">
        <v>463</v>
      </c>
      <c r="B68" s="3"/>
      <c r="C68" s="4">
        <v>0</v>
      </c>
      <c r="D68" s="68"/>
    </row>
    <row r="69" spans="1:4">
      <c r="A69" s="7" t="s">
        <v>464</v>
      </c>
      <c r="B69" s="5"/>
      <c r="C69" s="2">
        <v>0</v>
      </c>
      <c r="D69" s="77"/>
    </row>
    <row r="70" spans="1:4">
      <c r="A70" s="7" t="s">
        <v>125</v>
      </c>
      <c r="B70" s="4">
        <v>0.21199999999999999</v>
      </c>
      <c r="C70" s="4">
        <v>0.122</v>
      </c>
      <c r="D70" s="78">
        <v>57.5</v>
      </c>
    </row>
    <row r="71" spans="1:4">
      <c r="A71" s="7" t="s">
        <v>465</v>
      </c>
      <c r="B71" s="5"/>
      <c r="C71" s="2">
        <v>0</v>
      </c>
      <c r="D71" s="77"/>
    </row>
    <row r="72" spans="1:4">
      <c r="A72" s="7" t="s">
        <v>466</v>
      </c>
      <c r="B72" s="3"/>
      <c r="C72" s="4">
        <v>0</v>
      </c>
      <c r="D72" s="68"/>
    </row>
    <row r="73" spans="1:4">
      <c r="A73" s="7" t="s">
        <v>467</v>
      </c>
      <c r="B73" s="5"/>
      <c r="C73" s="2">
        <v>0</v>
      </c>
      <c r="D73" s="77"/>
    </row>
    <row r="74" spans="1:4">
      <c r="A74" s="7" t="s">
        <v>468</v>
      </c>
      <c r="B74" s="3"/>
      <c r="C74" s="4">
        <v>0</v>
      </c>
      <c r="D74" s="68"/>
    </row>
    <row r="75" spans="1:4">
      <c r="A75" s="7" t="s">
        <v>469</v>
      </c>
      <c r="B75" s="5"/>
      <c r="C75" s="2">
        <v>0</v>
      </c>
      <c r="D75" s="77"/>
    </row>
    <row r="76" spans="1:4">
      <c r="A76" s="7" t="s">
        <v>470</v>
      </c>
      <c r="B76" s="3"/>
      <c r="C76" s="4">
        <v>0</v>
      </c>
      <c r="D76" s="68"/>
    </row>
    <row r="77" spans="1:4">
      <c r="A77" s="7" t="s">
        <v>471</v>
      </c>
      <c r="B77" s="5"/>
      <c r="C77" s="2">
        <v>0</v>
      </c>
      <c r="D77" s="77"/>
    </row>
    <row r="78" spans="1:4">
      <c r="A78" s="7" t="s">
        <v>472</v>
      </c>
      <c r="B78" s="3"/>
      <c r="C78" s="4">
        <v>0</v>
      </c>
      <c r="D78" s="68"/>
    </row>
    <row r="79" spans="1:4">
      <c r="A79" s="7" t="s">
        <v>473</v>
      </c>
      <c r="B79" s="5"/>
      <c r="C79" s="2">
        <v>0</v>
      </c>
      <c r="D79" s="77"/>
    </row>
    <row r="80" spans="1:4">
      <c r="A80" s="7" t="s">
        <v>474</v>
      </c>
      <c r="B80" s="3"/>
      <c r="C80" s="4">
        <v>0</v>
      </c>
      <c r="D80" s="68"/>
    </row>
    <row r="81" spans="1:4">
      <c r="A81" s="7" t="s">
        <v>475</v>
      </c>
      <c r="B81" s="5"/>
      <c r="C81" s="2">
        <v>0</v>
      </c>
      <c r="D81" s="77"/>
    </row>
    <row r="82" spans="1:4">
      <c r="A82" s="7" t="s">
        <v>476</v>
      </c>
      <c r="B82" s="3"/>
      <c r="C82" s="4">
        <v>0</v>
      </c>
      <c r="D82" s="68"/>
    </row>
    <row r="83" spans="1:4">
      <c r="A83" s="7" t="s">
        <v>477</v>
      </c>
      <c r="B83" s="5"/>
      <c r="C83" s="2">
        <v>0</v>
      </c>
      <c r="D83" s="77"/>
    </row>
    <row r="84" spans="1:4">
      <c r="A84" s="7" t="s">
        <v>478</v>
      </c>
      <c r="B84" s="3"/>
      <c r="C84" s="4">
        <v>0</v>
      </c>
      <c r="D84" s="68"/>
    </row>
    <row r="85" spans="1:4">
      <c r="A85" s="7" t="s">
        <v>479</v>
      </c>
      <c r="B85" s="5"/>
      <c r="C85" s="2">
        <v>0</v>
      </c>
      <c r="D85" s="77"/>
    </row>
    <row r="86" spans="1:4">
      <c r="A86" s="7" t="s">
        <v>480</v>
      </c>
      <c r="B86" s="3"/>
      <c r="C86" s="4">
        <v>0</v>
      </c>
      <c r="D86" s="68"/>
    </row>
    <row r="87" spans="1:4">
      <c r="A87" s="7" t="s">
        <v>481</v>
      </c>
      <c r="B87" s="5"/>
      <c r="C87" s="2">
        <v>0</v>
      </c>
      <c r="D87" s="77"/>
    </row>
    <row r="88" spans="1:4">
      <c r="A88" s="7" t="s">
        <v>482</v>
      </c>
      <c r="B88" s="3"/>
      <c r="C88" s="4">
        <v>0</v>
      </c>
      <c r="D88" s="68"/>
    </row>
    <row r="89" spans="1:4">
      <c r="A89" s="7" t="s">
        <v>483</v>
      </c>
      <c r="B89" s="5"/>
      <c r="C89" s="2">
        <v>0</v>
      </c>
      <c r="D89" s="77"/>
    </row>
    <row r="90" spans="1:4">
      <c r="A90" s="7" t="s">
        <v>484</v>
      </c>
      <c r="B90" s="3"/>
      <c r="C90" s="4">
        <v>0</v>
      </c>
      <c r="D90" s="68"/>
    </row>
    <row r="91" spans="1:4">
      <c r="A91" s="7" t="s">
        <v>485</v>
      </c>
      <c r="B91" s="5"/>
      <c r="C91" s="2">
        <v>0</v>
      </c>
      <c r="D91" s="77"/>
    </row>
    <row r="92" spans="1:4">
      <c r="A92" s="7" t="s">
        <v>486</v>
      </c>
      <c r="B92" s="3"/>
      <c r="C92" s="4">
        <v>0</v>
      </c>
      <c r="D92" s="68"/>
    </row>
    <row r="93" spans="1:4">
      <c r="A93" s="7" t="s">
        <v>126</v>
      </c>
      <c r="B93" s="2">
        <v>0.12</v>
      </c>
      <c r="C93" s="2">
        <v>4.7199999999999999E-2</v>
      </c>
      <c r="D93" s="79">
        <v>39.299999999999997</v>
      </c>
    </row>
    <row r="94" spans="1:4">
      <c r="A94" s="7" t="s">
        <v>487</v>
      </c>
      <c r="B94" s="3"/>
      <c r="C94" s="4">
        <v>0</v>
      </c>
      <c r="D94" s="68"/>
    </row>
    <row r="95" spans="1:4">
      <c r="A95" s="7" t="s">
        <v>488</v>
      </c>
      <c r="B95" s="5"/>
      <c r="C95" s="2">
        <v>0</v>
      </c>
      <c r="D95" s="77"/>
    </row>
    <row r="96" spans="1:4">
      <c r="A96" s="7" t="s">
        <v>489</v>
      </c>
      <c r="B96" s="3"/>
      <c r="C96" s="4">
        <v>0</v>
      </c>
      <c r="D96" s="68"/>
    </row>
    <row r="97" spans="1:4">
      <c r="A97" s="7" t="s">
        <v>490</v>
      </c>
      <c r="B97" s="5"/>
      <c r="C97" s="2">
        <v>0</v>
      </c>
      <c r="D97" s="77"/>
    </row>
    <row r="98" spans="1:4">
      <c r="A98" s="7" t="s">
        <v>127</v>
      </c>
      <c r="B98" s="4">
        <v>0.126</v>
      </c>
      <c r="C98" s="3"/>
      <c r="D98" s="78">
        <v>0</v>
      </c>
    </row>
    <row r="99" spans="1:4">
      <c r="A99" s="7" t="s">
        <v>128</v>
      </c>
      <c r="B99" s="2">
        <v>0.22900000000000001</v>
      </c>
      <c r="C99" s="2">
        <v>0.107</v>
      </c>
      <c r="D99" s="79">
        <v>46.9</v>
      </c>
    </row>
    <row r="100" spans="1:4">
      <c r="A100" s="7" t="s">
        <v>129</v>
      </c>
      <c r="B100" s="3"/>
      <c r="C100" s="4">
        <v>0</v>
      </c>
      <c r="D100" s="68"/>
    </row>
    <row r="101" spans="1:4">
      <c r="A101" s="7" t="s">
        <v>491</v>
      </c>
      <c r="B101" s="5"/>
      <c r="C101" s="2">
        <v>0</v>
      </c>
      <c r="D101" s="77"/>
    </row>
    <row r="102" spans="1:4">
      <c r="A102" s="7" t="s">
        <v>492</v>
      </c>
      <c r="B102" s="3"/>
      <c r="C102" s="4">
        <v>0</v>
      </c>
      <c r="D102" s="68"/>
    </row>
    <row r="103" spans="1:4">
      <c r="A103" s="7" t="s">
        <v>493</v>
      </c>
      <c r="B103" s="5"/>
      <c r="C103" s="2">
        <v>0</v>
      </c>
      <c r="D103" s="77"/>
    </row>
    <row r="104" spans="1:4">
      <c r="A104" s="7" t="s">
        <v>130</v>
      </c>
      <c r="B104" s="3"/>
      <c r="C104" s="4">
        <v>0</v>
      </c>
      <c r="D104" s="68"/>
    </row>
    <row r="105" spans="1:4">
      <c r="A105" s="7" t="s">
        <v>131</v>
      </c>
      <c r="B105" s="5"/>
      <c r="C105" s="2">
        <v>0</v>
      </c>
      <c r="D105" s="77"/>
    </row>
    <row r="106" spans="1:4">
      <c r="A106" s="7" t="s">
        <v>494</v>
      </c>
      <c r="B106" s="3"/>
      <c r="C106" s="4">
        <v>0</v>
      </c>
      <c r="D106" s="68"/>
    </row>
    <row r="107" spans="1:4">
      <c r="A107" s="7" t="s">
        <v>132</v>
      </c>
      <c r="B107" s="5"/>
      <c r="C107" s="2">
        <v>0</v>
      </c>
      <c r="D107" s="77"/>
    </row>
    <row r="108" spans="1:4">
      <c r="A108" s="7" t="s">
        <v>133</v>
      </c>
      <c r="B108" s="4">
        <v>5.2200000000000003E-2</v>
      </c>
      <c r="C108" s="4">
        <v>5.3499999999999997E-3</v>
      </c>
      <c r="D108" s="78">
        <v>10.199999999999999</v>
      </c>
    </row>
    <row r="109" spans="1:4">
      <c r="A109" s="7" t="s">
        <v>134</v>
      </c>
      <c r="B109" s="2">
        <v>0.51400000000000001</v>
      </c>
      <c r="C109" s="2">
        <v>8.4199999999999997E-2</v>
      </c>
      <c r="D109" s="79">
        <v>16.399999999999999</v>
      </c>
    </row>
    <row r="110" spans="1:4">
      <c r="A110" s="7" t="s">
        <v>495</v>
      </c>
      <c r="B110" s="3"/>
      <c r="C110" s="4">
        <v>0</v>
      </c>
      <c r="D110" s="68"/>
    </row>
    <row r="111" spans="1:4">
      <c r="A111" s="7" t="s">
        <v>496</v>
      </c>
      <c r="B111" s="5"/>
      <c r="C111" s="2">
        <v>0</v>
      </c>
      <c r="D111" s="77"/>
    </row>
    <row r="112" spans="1:4">
      <c r="A112" s="7" t="s">
        <v>497</v>
      </c>
      <c r="B112" s="3"/>
      <c r="C112" s="4">
        <v>0</v>
      </c>
      <c r="D112" s="68"/>
    </row>
    <row r="113" spans="1:4">
      <c r="A113" s="7" t="s">
        <v>498</v>
      </c>
      <c r="B113" s="5"/>
      <c r="C113" s="2">
        <v>0</v>
      </c>
      <c r="D113" s="77"/>
    </row>
    <row r="114" spans="1:4">
      <c r="A114" s="7" t="s">
        <v>499</v>
      </c>
      <c r="B114" s="3"/>
      <c r="C114" s="4">
        <v>0</v>
      </c>
      <c r="D114" s="68"/>
    </row>
    <row r="115" spans="1:4">
      <c r="A115" s="7" t="s">
        <v>135</v>
      </c>
      <c r="B115" s="2">
        <v>0.92300000000000004</v>
      </c>
      <c r="C115" s="2">
        <v>1.07</v>
      </c>
      <c r="D115" s="79">
        <v>116</v>
      </c>
    </row>
    <row r="116" spans="1:4">
      <c r="A116" s="7" t="s">
        <v>500</v>
      </c>
      <c r="B116" s="3"/>
      <c r="C116" s="4">
        <v>0</v>
      </c>
      <c r="D116" s="68"/>
    </row>
    <row r="117" spans="1:4">
      <c r="A117" s="7" t="s">
        <v>136</v>
      </c>
      <c r="B117" s="5"/>
      <c r="C117" s="2">
        <v>0</v>
      </c>
      <c r="D117" s="77"/>
    </row>
    <row r="118" spans="1:4">
      <c r="A118" s="7" t="s">
        <v>501</v>
      </c>
      <c r="B118" s="3"/>
      <c r="C118" s="4">
        <v>0</v>
      </c>
      <c r="D118" s="68"/>
    </row>
    <row r="119" spans="1:4">
      <c r="A119" s="7" t="s">
        <v>502</v>
      </c>
      <c r="B119" s="5"/>
      <c r="C119" s="2">
        <v>0</v>
      </c>
      <c r="D119" s="77"/>
    </row>
    <row r="120" spans="1:4">
      <c r="A120" s="7" t="s">
        <v>503</v>
      </c>
      <c r="B120" s="3"/>
      <c r="C120" s="4">
        <v>0</v>
      </c>
      <c r="D120" s="68"/>
    </row>
    <row r="121" spans="1:4">
      <c r="A121" s="7" t="s">
        <v>137</v>
      </c>
      <c r="B121" s="2">
        <v>0.50600000000000001</v>
      </c>
      <c r="C121" s="2">
        <v>0.19</v>
      </c>
      <c r="D121" s="79">
        <v>37.5</v>
      </c>
    </row>
    <row r="122" spans="1:4">
      <c r="A122" s="7" t="s">
        <v>504</v>
      </c>
      <c r="B122" s="3"/>
      <c r="C122" s="4">
        <v>0</v>
      </c>
      <c r="D122" s="68"/>
    </row>
    <row r="123" spans="1:4">
      <c r="A123" s="7" t="s">
        <v>138</v>
      </c>
      <c r="B123" s="2">
        <v>1.89E-2</v>
      </c>
      <c r="C123" s="2">
        <v>9.4800000000000006E-3</v>
      </c>
      <c r="D123" s="79">
        <v>50.2</v>
      </c>
    </row>
    <row r="124" spans="1:4">
      <c r="A124" s="7" t="s">
        <v>505</v>
      </c>
      <c r="B124" s="3"/>
      <c r="C124" s="4">
        <v>0</v>
      </c>
      <c r="D124" s="68"/>
    </row>
    <row r="125" spans="1:4">
      <c r="A125" s="7" t="s">
        <v>139</v>
      </c>
      <c r="B125" s="2">
        <v>9.75E-3</v>
      </c>
      <c r="C125" s="2">
        <v>1.64E-3</v>
      </c>
      <c r="D125" s="79">
        <v>16.8</v>
      </c>
    </row>
    <row r="126" spans="1:4">
      <c r="A126" s="7" t="s">
        <v>506</v>
      </c>
      <c r="B126" s="3"/>
      <c r="C126" s="4">
        <v>0</v>
      </c>
      <c r="D126" s="68"/>
    </row>
    <row r="127" spans="1:4">
      <c r="A127" s="7" t="s">
        <v>507</v>
      </c>
      <c r="B127" s="5"/>
      <c r="C127" s="2">
        <v>0</v>
      </c>
      <c r="D127" s="77"/>
    </row>
    <row r="128" spans="1:4">
      <c r="A128" s="7" t="s">
        <v>508</v>
      </c>
      <c r="B128" s="3"/>
      <c r="C128" s="4">
        <v>0</v>
      </c>
      <c r="D128" s="68"/>
    </row>
    <row r="129" spans="1:4">
      <c r="A129" s="7" t="s">
        <v>509</v>
      </c>
      <c r="B129" s="5"/>
      <c r="C129" s="2">
        <v>0</v>
      </c>
      <c r="D129" s="77"/>
    </row>
    <row r="130" spans="1:4">
      <c r="A130" s="7" t="s">
        <v>140</v>
      </c>
      <c r="B130" s="3"/>
      <c r="C130" s="4">
        <v>0</v>
      </c>
      <c r="D130" s="68"/>
    </row>
    <row r="131" spans="1:4">
      <c r="A131" s="7" t="s">
        <v>141</v>
      </c>
      <c r="B131" s="2">
        <v>0.13</v>
      </c>
      <c r="C131" s="5"/>
      <c r="D131" s="79">
        <v>0</v>
      </c>
    </row>
    <row r="132" spans="1:4">
      <c r="A132" s="7" t="s">
        <v>142</v>
      </c>
      <c r="B132" s="3"/>
      <c r="C132" s="4">
        <v>0</v>
      </c>
      <c r="D132" s="68"/>
    </row>
    <row r="133" spans="1:4">
      <c r="A133" s="7" t="s">
        <v>510</v>
      </c>
      <c r="B133" s="5"/>
      <c r="C133" s="2">
        <v>0</v>
      </c>
      <c r="D133" s="77"/>
    </row>
    <row r="134" spans="1:4">
      <c r="A134" s="7" t="s">
        <v>511</v>
      </c>
      <c r="B134" s="3"/>
      <c r="C134" s="4">
        <v>0</v>
      </c>
      <c r="D134" s="68"/>
    </row>
    <row r="135" spans="1:4">
      <c r="A135" s="7" t="s">
        <v>512</v>
      </c>
      <c r="B135" s="5"/>
      <c r="C135" s="2">
        <v>0</v>
      </c>
      <c r="D135" s="77"/>
    </row>
    <row r="136" spans="1:4">
      <c r="A136" s="7" t="s">
        <v>513</v>
      </c>
      <c r="B136" s="3"/>
      <c r="C136" s="4">
        <v>0</v>
      </c>
      <c r="D136" s="68"/>
    </row>
    <row r="137" spans="1:4">
      <c r="A137" s="7" t="s">
        <v>514</v>
      </c>
      <c r="B137" s="5"/>
      <c r="C137" s="2">
        <v>0</v>
      </c>
      <c r="D137" s="77"/>
    </row>
    <row r="138" spans="1:4">
      <c r="A138" s="7" t="s">
        <v>515</v>
      </c>
      <c r="B138" s="3"/>
      <c r="C138" s="4">
        <v>0</v>
      </c>
      <c r="D138" s="68"/>
    </row>
    <row r="139" spans="1:4">
      <c r="A139" s="7" t="s">
        <v>516</v>
      </c>
      <c r="B139" s="5"/>
      <c r="C139" s="2">
        <v>0</v>
      </c>
      <c r="D139" s="77"/>
    </row>
    <row r="140" spans="1:4">
      <c r="A140" s="7" t="s">
        <v>517</v>
      </c>
      <c r="B140" s="3"/>
      <c r="C140" s="4">
        <v>0</v>
      </c>
      <c r="D140" s="68"/>
    </row>
    <row r="141" spans="1:4">
      <c r="A141" s="7" t="s">
        <v>143</v>
      </c>
      <c r="B141" s="5"/>
      <c r="C141" s="2">
        <v>0</v>
      </c>
      <c r="D141" s="77"/>
    </row>
    <row r="142" spans="1:4">
      <c r="A142" s="7" t="s">
        <v>518</v>
      </c>
      <c r="B142" s="3"/>
      <c r="C142" s="4">
        <v>0</v>
      </c>
      <c r="D142" s="68"/>
    </row>
    <row r="143" spans="1:4">
      <c r="A143" s="7" t="s">
        <v>519</v>
      </c>
      <c r="B143" s="5"/>
      <c r="C143" s="2">
        <v>0</v>
      </c>
      <c r="D143" s="77"/>
    </row>
    <row r="144" spans="1:4">
      <c r="A144" s="7" t="s">
        <v>144</v>
      </c>
      <c r="B144" s="4">
        <v>4.0600000000000002E-3</v>
      </c>
      <c r="C144" s="4">
        <v>2.47E-3</v>
      </c>
      <c r="D144" s="78">
        <v>60.8</v>
      </c>
    </row>
    <row r="145" spans="1:4">
      <c r="A145" s="7" t="s">
        <v>520</v>
      </c>
      <c r="B145" s="5"/>
      <c r="C145" s="2">
        <v>0</v>
      </c>
      <c r="D145" s="77"/>
    </row>
    <row r="146" spans="1:4">
      <c r="A146" s="7" t="s">
        <v>521</v>
      </c>
      <c r="B146" s="3"/>
      <c r="C146" s="4">
        <v>0</v>
      </c>
      <c r="D146" s="68"/>
    </row>
    <row r="147" spans="1:4">
      <c r="A147" s="7" t="s">
        <v>522</v>
      </c>
      <c r="B147" s="5"/>
      <c r="C147" s="2">
        <v>0</v>
      </c>
      <c r="D147" s="77"/>
    </row>
    <row r="148" spans="1:4">
      <c r="A148" s="7" t="s">
        <v>523</v>
      </c>
      <c r="B148" s="3"/>
      <c r="C148" s="4">
        <v>0</v>
      </c>
      <c r="D148" s="68"/>
    </row>
    <row r="149" spans="1:4">
      <c r="A149" s="7" t="s">
        <v>524</v>
      </c>
      <c r="B149" s="5"/>
      <c r="C149" s="2">
        <v>0</v>
      </c>
      <c r="D149" s="77"/>
    </row>
    <row r="150" spans="1:4">
      <c r="A150" s="7" t="s">
        <v>145</v>
      </c>
      <c r="B150" s="4">
        <v>2.31E-3</v>
      </c>
      <c r="C150" s="3"/>
      <c r="D150" s="78">
        <v>0</v>
      </c>
    </row>
    <row r="151" spans="1:4">
      <c r="A151" s="7" t="s">
        <v>525</v>
      </c>
      <c r="B151" s="5"/>
      <c r="C151" s="2">
        <v>0</v>
      </c>
      <c r="D151" s="77"/>
    </row>
    <row r="152" spans="1:4">
      <c r="A152" s="7" t="s">
        <v>526</v>
      </c>
      <c r="B152" s="3"/>
      <c r="C152" s="4">
        <v>0</v>
      </c>
      <c r="D152" s="68"/>
    </row>
    <row r="153" spans="1:4">
      <c r="A153" s="7" t="s">
        <v>527</v>
      </c>
      <c r="B153" s="5"/>
      <c r="C153" s="2">
        <v>0</v>
      </c>
      <c r="D153" s="77"/>
    </row>
    <row r="154" spans="1:4">
      <c r="A154" s="7" t="s">
        <v>528</v>
      </c>
      <c r="B154" s="3"/>
      <c r="C154" s="4">
        <v>0</v>
      </c>
      <c r="D154" s="68"/>
    </row>
    <row r="155" spans="1:4">
      <c r="A155" s="7" t="s">
        <v>146</v>
      </c>
      <c r="B155" s="2">
        <v>5.5399999999999998E-2</v>
      </c>
      <c r="C155" s="2">
        <v>3.3099999999999997E-2</v>
      </c>
      <c r="D155" s="79">
        <v>59.7</v>
      </c>
    </row>
    <row r="156" spans="1:4">
      <c r="A156" s="7" t="s">
        <v>529</v>
      </c>
      <c r="B156" s="3"/>
      <c r="C156" s="4">
        <v>0</v>
      </c>
      <c r="D156" s="68"/>
    </row>
    <row r="157" spans="1:4">
      <c r="A157" s="7" t="s">
        <v>147</v>
      </c>
      <c r="B157" s="2">
        <v>2.4299999999999999E-2</v>
      </c>
      <c r="C157" s="2">
        <v>1.9E-2</v>
      </c>
      <c r="D157" s="79">
        <v>77.900000000000006</v>
      </c>
    </row>
    <row r="158" spans="1:4">
      <c r="A158" s="7" t="s">
        <v>530</v>
      </c>
      <c r="B158" s="3"/>
      <c r="C158" s="4">
        <v>0</v>
      </c>
      <c r="D158" s="68"/>
    </row>
    <row r="159" spans="1:4">
      <c r="A159" s="7" t="s">
        <v>531</v>
      </c>
      <c r="B159" s="5"/>
      <c r="C159" s="2">
        <v>0</v>
      </c>
      <c r="D159" s="77"/>
    </row>
    <row r="160" spans="1:4">
      <c r="A160" s="7" t="s">
        <v>532</v>
      </c>
      <c r="B160" s="3"/>
      <c r="C160" s="4">
        <v>0</v>
      </c>
      <c r="D160" s="68"/>
    </row>
    <row r="161" spans="1:4">
      <c r="A161" s="7" t="s">
        <v>148</v>
      </c>
      <c r="B161" s="2">
        <v>0.128</v>
      </c>
      <c r="C161" s="2">
        <v>7.22E-2</v>
      </c>
      <c r="D161" s="79">
        <v>56.6</v>
      </c>
    </row>
    <row r="162" spans="1:4">
      <c r="A162" s="7" t="s">
        <v>149</v>
      </c>
      <c r="B162" s="4">
        <v>3.6200000000000003E-2</v>
      </c>
      <c r="C162" s="4">
        <v>2.9399999999999999E-2</v>
      </c>
      <c r="D162" s="78">
        <v>81.2</v>
      </c>
    </row>
    <row r="163" spans="1:4">
      <c r="A163" s="7" t="s">
        <v>150</v>
      </c>
      <c r="B163" s="2">
        <v>3.46E-3</v>
      </c>
      <c r="C163" s="5"/>
      <c r="D163" s="79">
        <v>0</v>
      </c>
    </row>
    <row r="164" spans="1:4">
      <c r="A164" s="7" t="s">
        <v>533</v>
      </c>
      <c r="B164" s="3"/>
      <c r="C164" s="4">
        <v>0</v>
      </c>
      <c r="D164" s="68"/>
    </row>
    <row r="165" spans="1:4">
      <c r="A165" s="7" t="s">
        <v>151</v>
      </c>
      <c r="B165" s="2">
        <v>5.6000000000000001E-2</v>
      </c>
      <c r="C165" s="2">
        <v>4.58E-2</v>
      </c>
      <c r="D165" s="79">
        <v>81.8</v>
      </c>
    </row>
    <row r="166" spans="1:4">
      <c r="A166" s="7" t="s">
        <v>534</v>
      </c>
      <c r="B166" s="3"/>
      <c r="C166" s="4">
        <v>0</v>
      </c>
      <c r="D166" s="68"/>
    </row>
    <row r="167" spans="1:4">
      <c r="A167" s="7" t="s">
        <v>152</v>
      </c>
      <c r="B167" s="2">
        <v>0.24399999999999999</v>
      </c>
      <c r="C167" s="5"/>
      <c r="D167" s="79">
        <v>0</v>
      </c>
    </row>
    <row r="168" spans="1:4">
      <c r="A168" s="7" t="s">
        <v>153</v>
      </c>
      <c r="B168" s="4">
        <v>0.51</v>
      </c>
      <c r="C168" s="4">
        <v>0.14899999999999999</v>
      </c>
      <c r="D168" s="78">
        <v>29.3</v>
      </c>
    </row>
    <row r="169" spans="1:4">
      <c r="A169" s="7" t="s">
        <v>154</v>
      </c>
      <c r="B169" s="2">
        <v>6.3500000000000001E-2</v>
      </c>
      <c r="C169" s="2">
        <v>5.16E-2</v>
      </c>
      <c r="D169" s="79">
        <v>81.3</v>
      </c>
    </row>
    <row r="170" spans="1:4">
      <c r="A170" s="7" t="s">
        <v>155</v>
      </c>
      <c r="B170" s="4">
        <v>4.3900000000000002E-2</v>
      </c>
      <c r="C170" s="4">
        <v>1.21E-2</v>
      </c>
      <c r="D170" s="78">
        <v>27.6</v>
      </c>
    </row>
    <row r="171" spans="1:4">
      <c r="A171" s="7" t="s">
        <v>156</v>
      </c>
      <c r="B171" s="2">
        <v>0.18099999999999999</v>
      </c>
      <c r="C171" s="2">
        <v>4.2299999999999997E-2</v>
      </c>
      <c r="D171" s="79">
        <v>23.3</v>
      </c>
    </row>
    <row r="172" spans="1:4">
      <c r="A172" s="7" t="s">
        <v>157</v>
      </c>
      <c r="B172" s="4">
        <v>7.0199999999999999E-2</v>
      </c>
      <c r="C172" s="4">
        <v>1.2999999999999999E-2</v>
      </c>
      <c r="D172" s="78">
        <v>18.5</v>
      </c>
    </row>
    <row r="173" spans="1:4">
      <c r="A173" s="7" t="s">
        <v>158</v>
      </c>
      <c r="B173" s="2">
        <v>8.3199999999999993E-3</v>
      </c>
      <c r="C173" s="5"/>
      <c r="D173" s="79">
        <v>0</v>
      </c>
    </row>
    <row r="174" spans="1:4">
      <c r="A174" s="7" t="s">
        <v>159</v>
      </c>
      <c r="B174" s="4">
        <v>3.4700000000000002E-2</v>
      </c>
      <c r="C174" s="3"/>
      <c r="D174" s="78">
        <v>0</v>
      </c>
    </row>
    <row r="175" spans="1:4">
      <c r="A175" s="7" t="s">
        <v>160</v>
      </c>
      <c r="B175" s="5"/>
      <c r="C175" s="2">
        <v>0</v>
      </c>
      <c r="D175" s="77"/>
    </row>
    <row r="176" spans="1:4">
      <c r="A176" s="7" t="s">
        <v>161</v>
      </c>
      <c r="B176" s="4">
        <v>0.222</v>
      </c>
      <c r="C176" s="4">
        <v>6.4600000000000005E-2</v>
      </c>
      <c r="D176" s="78">
        <v>29.1</v>
      </c>
    </row>
    <row r="177" spans="1:4">
      <c r="A177" s="7" t="s">
        <v>162</v>
      </c>
      <c r="B177" s="2">
        <v>3.6799999999999999E-2</v>
      </c>
      <c r="C177" s="5"/>
      <c r="D177" s="79">
        <v>0</v>
      </c>
    </row>
    <row r="178" spans="1:4">
      <c r="A178" s="7" t="s">
        <v>535</v>
      </c>
      <c r="B178" s="3"/>
      <c r="C178" s="4">
        <v>0</v>
      </c>
      <c r="D178" s="68"/>
    </row>
    <row r="179" spans="1:4">
      <c r="A179" s="7" t="s">
        <v>536</v>
      </c>
      <c r="B179" s="5"/>
      <c r="C179" s="2">
        <v>0</v>
      </c>
      <c r="D179" s="77"/>
    </row>
    <row r="180" spans="1:4">
      <c r="A180" s="7" t="s">
        <v>537</v>
      </c>
      <c r="B180" s="3"/>
      <c r="C180" s="4">
        <v>0</v>
      </c>
      <c r="D180" s="68"/>
    </row>
    <row r="181" spans="1:4">
      <c r="A181" s="7" t="s">
        <v>538</v>
      </c>
      <c r="B181" s="5"/>
      <c r="C181" s="2">
        <v>0</v>
      </c>
      <c r="D181" s="77"/>
    </row>
    <row r="182" spans="1:4">
      <c r="A182" s="7" t="s">
        <v>163</v>
      </c>
      <c r="B182" s="4">
        <v>6.28E-3</v>
      </c>
      <c r="C182" s="3"/>
      <c r="D182" s="78">
        <v>0</v>
      </c>
    </row>
    <row r="183" spans="1:4">
      <c r="A183" s="7" t="s">
        <v>539</v>
      </c>
      <c r="B183" s="5"/>
      <c r="C183" s="2">
        <v>0</v>
      </c>
      <c r="D183" s="77"/>
    </row>
    <row r="184" spans="1:4">
      <c r="A184" s="7" t="s">
        <v>540</v>
      </c>
      <c r="B184" s="3"/>
      <c r="C184" s="4">
        <v>0</v>
      </c>
      <c r="D184" s="68"/>
    </row>
    <row r="185" spans="1:4">
      <c r="A185" s="7" t="s">
        <v>541</v>
      </c>
      <c r="B185" s="5"/>
      <c r="C185" s="2">
        <v>0</v>
      </c>
      <c r="D185" s="77"/>
    </row>
    <row r="186" spans="1:4">
      <c r="A186" s="7" t="s">
        <v>164</v>
      </c>
      <c r="B186" s="4">
        <v>2.5899999999999999E-2</v>
      </c>
      <c r="C186" s="4">
        <v>7.4400000000000004E-3</v>
      </c>
      <c r="D186" s="78">
        <v>28.7</v>
      </c>
    </row>
    <row r="187" spans="1:4">
      <c r="A187" s="7" t="s">
        <v>165</v>
      </c>
      <c r="B187" s="5"/>
      <c r="C187" s="2">
        <v>0</v>
      </c>
      <c r="D187" s="77"/>
    </row>
    <row r="188" spans="1:4">
      <c r="A188" s="7" t="s">
        <v>542</v>
      </c>
      <c r="B188" s="3"/>
      <c r="C188" s="4">
        <v>0</v>
      </c>
      <c r="D188" s="68"/>
    </row>
    <row r="189" spans="1:4">
      <c r="A189" s="7" t="s">
        <v>543</v>
      </c>
      <c r="B189" s="5"/>
      <c r="C189" s="2">
        <v>0</v>
      </c>
      <c r="D189" s="77"/>
    </row>
    <row r="190" spans="1:4">
      <c r="A190" s="7" t="s">
        <v>544</v>
      </c>
      <c r="B190" s="3"/>
      <c r="C190" s="4">
        <v>0</v>
      </c>
      <c r="D190" s="68"/>
    </row>
    <row r="191" spans="1:4">
      <c r="A191" s="7" t="s">
        <v>545</v>
      </c>
      <c r="B191" s="5"/>
      <c r="C191" s="2">
        <v>0</v>
      </c>
      <c r="D191" s="77"/>
    </row>
    <row r="192" spans="1:4">
      <c r="A192" s="7" t="s">
        <v>546</v>
      </c>
      <c r="B192" s="3"/>
      <c r="C192" s="4">
        <v>0</v>
      </c>
      <c r="D192" s="68"/>
    </row>
    <row r="193" spans="1:4">
      <c r="A193" s="7" t="s">
        <v>547</v>
      </c>
      <c r="B193" s="5"/>
      <c r="C193" s="2">
        <v>0</v>
      </c>
      <c r="D193" s="77"/>
    </row>
    <row r="194" spans="1:4">
      <c r="A194" s="7" t="s">
        <v>548</v>
      </c>
      <c r="B194" s="3"/>
      <c r="C194" s="4">
        <v>0</v>
      </c>
      <c r="D194" s="68"/>
    </row>
    <row r="195" spans="1:4">
      <c r="A195" s="7" t="s">
        <v>549</v>
      </c>
      <c r="B195" s="5"/>
      <c r="C195" s="2">
        <v>0</v>
      </c>
      <c r="D195" s="77"/>
    </row>
    <row r="196" spans="1:4">
      <c r="A196" s="7" t="s">
        <v>550</v>
      </c>
      <c r="B196" s="3"/>
      <c r="C196" s="4">
        <v>0</v>
      </c>
      <c r="D196" s="68"/>
    </row>
    <row r="197" spans="1:4">
      <c r="A197" s="7" t="s">
        <v>551</v>
      </c>
      <c r="B197" s="5"/>
      <c r="C197" s="2">
        <v>0</v>
      </c>
      <c r="D197" s="77"/>
    </row>
    <row r="198" spans="1:4">
      <c r="A198" s="7" t="s">
        <v>552</v>
      </c>
      <c r="B198" s="3"/>
      <c r="C198" s="4">
        <v>0</v>
      </c>
      <c r="D198" s="68"/>
    </row>
    <row r="199" spans="1:4">
      <c r="A199" s="7" t="s">
        <v>553</v>
      </c>
      <c r="B199" s="5"/>
      <c r="C199" s="2">
        <v>0</v>
      </c>
      <c r="D199" s="77"/>
    </row>
    <row r="200" spans="1:4">
      <c r="A200" s="7" t="s">
        <v>554</v>
      </c>
      <c r="B200" s="3"/>
      <c r="C200" s="4">
        <v>0</v>
      </c>
      <c r="D200" s="68"/>
    </row>
    <row r="201" spans="1:4">
      <c r="A201" s="7" t="s">
        <v>555</v>
      </c>
      <c r="B201" s="5"/>
      <c r="C201" s="2">
        <v>0</v>
      </c>
      <c r="D201" s="77"/>
    </row>
    <row r="202" spans="1:4">
      <c r="A202" s="7" t="s">
        <v>556</v>
      </c>
      <c r="B202" s="3"/>
      <c r="C202" s="4">
        <v>0</v>
      </c>
      <c r="D202" s="68"/>
    </row>
    <row r="203" spans="1:4">
      <c r="A203" s="7" t="s">
        <v>557</v>
      </c>
      <c r="B203" s="5"/>
      <c r="C203" s="2">
        <v>0</v>
      </c>
      <c r="D203" s="77"/>
    </row>
    <row r="204" spans="1:4">
      <c r="A204" s="7" t="s">
        <v>558</v>
      </c>
      <c r="B204" s="3"/>
      <c r="C204" s="4">
        <v>0</v>
      </c>
      <c r="D204" s="68"/>
    </row>
    <row r="205" spans="1:4">
      <c r="A205" s="7" t="s">
        <v>559</v>
      </c>
      <c r="B205" s="5"/>
      <c r="C205" s="2">
        <v>0</v>
      </c>
      <c r="D205" s="77"/>
    </row>
    <row r="206" spans="1:4">
      <c r="A206" s="8" t="s">
        <v>560</v>
      </c>
      <c r="B206" s="3"/>
      <c r="C206" s="4">
        <v>0</v>
      </c>
      <c r="D206" s="68"/>
    </row>
    <row r="207" spans="1:4">
      <c r="A207" s="8" t="s">
        <v>561</v>
      </c>
      <c r="B207" s="5"/>
      <c r="C207" s="2">
        <v>0</v>
      </c>
      <c r="D207" s="77"/>
    </row>
    <row r="208" spans="1:4">
      <c r="A208" s="8" t="s">
        <v>166</v>
      </c>
      <c r="B208" s="4">
        <v>1.66E-2</v>
      </c>
      <c r="C208" s="4">
        <v>1.1299999999999999E-2</v>
      </c>
      <c r="D208" s="78">
        <v>68.2</v>
      </c>
    </row>
    <row r="209" spans="1:4">
      <c r="A209" s="8" t="s">
        <v>562</v>
      </c>
      <c r="B209" s="5"/>
      <c r="C209" s="2">
        <v>0</v>
      </c>
      <c r="D209" s="77"/>
    </row>
    <row r="210" spans="1:4">
      <c r="A210" s="8" t="s">
        <v>167</v>
      </c>
      <c r="B210" s="4">
        <v>0.28999999999999998</v>
      </c>
      <c r="C210" s="4">
        <v>0.183</v>
      </c>
      <c r="D210" s="78">
        <v>63.2</v>
      </c>
    </row>
    <row r="211" spans="1:4">
      <c r="A211" s="8" t="s">
        <v>563</v>
      </c>
      <c r="B211" s="5"/>
      <c r="C211" s="2">
        <v>0</v>
      </c>
      <c r="D211" s="77"/>
    </row>
    <row r="212" spans="1:4">
      <c r="A212" s="8" t="s">
        <v>168</v>
      </c>
      <c r="B212" s="4">
        <v>1.46E-2</v>
      </c>
      <c r="C212" s="3"/>
      <c r="D212" s="78">
        <v>0</v>
      </c>
    </row>
    <row r="213" spans="1:4">
      <c r="A213" s="8" t="s">
        <v>169</v>
      </c>
      <c r="B213" s="2">
        <v>4.9199999999999999E-3</v>
      </c>
      <c r="C213" s="5"/>
      <c r="D213" s="79">
        <v>0</v>
      </c>
    </row>
    <row r="214" spans="1:4">
      <c r="A214" s="8" t="s">
        <v>564</v>
      </c>
      <c r="B214" s="3"/>
      <c r="C214" s="4">
        <v>0</v>
      </c>
      <c r="D214" s="68"/>
    </row>
    <row r="215" spans="1:4">
      <c r="A215" s="8" t="s">
        <v>565</v>
      </c>
      <c r="B215" s="5"/>
      <c r="C215" s="2">
        <v>0</v>
      </c>
      <c r="D215" s="77"/>
    </row>
    <row r="216" spans="1:4">
      <c r="A216" s="8" t="s">
        <v>566</v>
      </c>
      <c r="B216" s="3"/>
      <c r="C216" s="4">
        <v>0</v>
      </c>
      <c r="D216" s="68"/>
    </row>
    <row r="217" spans="1:4">
      <c r="A217" s="8" t="s">
        <v>170</v>
      </c>
      <c r="B217" s="2">
        <v>4.5700000000000003E-3</v>
      </c>
      <c r="C217" s="2">
        <v>1.56E-3</v>
      </c>
      <c r="D217" s="79">
        <v>34.200000000000003</v>
      </c>
    </row>
    <row r="218" spans="1:4">
      <c r="A218" s="8" t="s">
        <v>567</v>
      </c>
      <c r="B218" s="3"/>
      <c r="C218" s="4">
        <v>0</v>
      </c>
      <c r="D218" s="68"/>
    </row>
    <row r="219" spans="1:4">
      <c r="A219" s="8" t="s">
        <v>568</v>
      </c>
      <c r="B219" s="5"/>
      <c r="C219" s="2">
        <v>0</v>
      </c>
      <c r="D219" s="77"/>
    </row>
    <row r="220" spans="1:4">
      <c r="A220" s="8" t="s">
        <v>569</v>
      </c>
      <c r="B220" s="3"/>
      <c r="C220" s="4">
        <v>0</v>
      </c>
      <c r="D220" s="68"/>
    </row>
    <row r="221" spans="1:4">
      <c r="A221" s="8" t="s">
        <v>171</v>
      </c>
      <c r="B221" s="2">
        <v>1.9499999999999999E-3</v>
      </c>
      <c r="C221" s="5"/>
      <c r="D221" s="79">
        <v>0</v>
      </c>
    </row>
    <row r="222" spans="1:4">
      <c r="A222" s="8" t="s">
        <v>570</v>
      </c>
      <c r="B222" s="3"/>
      <c r="C222" s="4">
        <v>0</v>
      </c>
      <c r="D222" s="68"/>
    </row>
    <row r="223" spans="1:4">
      <c r="A223" s="8" t="s">
        <v>172</v>
      </c>
      <c r="B223" s="2">
        <v>1.91E-3</v>
      </c>
      <c r="C223" s="5"/>
      <c r="D223" s="79">
        <v>0</v>
      </c>
    </row>
    <row r="224" spans="1:4">
      <c r="A224" s="8" t="s">
        <v>173</v>
      </c>
      <c r="B224" s="4">
        <v>0.114</v>
      </c>
      <c r="C224" s="4">
        <v>3.4000000000000002E-2</v>
      </c>
      <c r="D224" s="78">
        <v>29.9</v>
      </c>
    </row>
    <row r="225" spans="1:4">
      <c r="A225" s="8" t="s">
        <v>174</v>
      </c>
      <c r="B225" s="2">
        <v>0.32</v>
      </c>
      <c r="C225" s="2">
        <v>0.185</v>
      </c>
      <c r="D225" s="79">
        <v>57.8</v>
      </c>
    </row>
    <row r="226" spans="1:4">
      <c r="A226" s="8" t="s">
        <v>571</v>
      </c>
      <c r="B226" s="3"/>
      <c r="C226" s="4">
        <v>0</v>
      </c>
      <c r="D226" s="68"/>
    </row>
    <row r="227" spans="1:4">
      <c r="A227" s="8" t="s">
        <v>175</v>
      </c>
      <c r="B227" s="2">
        <v>9.6500000000000006E-3</v>
      </c>
      <c r="C227" s="2">
        <v>2.5799999999999998E-3</v>
      </c>
      <c r="D227" s="79">
        <v>26.7</v>
      </c>
    </row>
    <row r="228" spans="1:4">
      <c r="A228" s="8" t="s">
        <v>176</v>
      </c>
      <c r="B228" s="4">
        <v>2.0400000000000001E-3</v>
      </c>
      <c r="C228" s="4">
        <v>2.22E-4</v>
      </c>
      <c r="D228" s="78">
        <v>10.9</v>
      </c>
    </row>
    <row r="229" spans="1:4">
      <c r="A229" s="8" t="s">
        <v>177</v>
      </c>
      <c r="B229" s="5"/>
      <c r="C229" s="2">
        <v>0</v>
      </c>
      <c r="D229" s="77"/>
    </row>
    <row r="230" spans="1:4">
      <c r="A230" s="8" t="s">
        <v>572</v>
      </c>
      <c r="B230" s="3"/>
      <c r="C230" s="4">
        <v>0</v>
      </c>
      <c r="D230" s="68"/>
    </row>
    <row r="231" spans="1:4">
      <c r="A231" s="8" t="s">
        <v>573</v>
      </c>
      <c r="B231" s="5"/>
      <c r="C231" s="2">
        <v>0</v>
      </c>
      <c r="D231" s="77"/>
    </row>
    <row r="232" spans="1:4">
      <c r="A232" s="8" t="s">
        <v>574</v>
      </c>
      <c r="B232" s="3"/>
      <c r="C232" s="4">
        <v>0</v>
      </c>
      <c r="D232" s="68"/>
    </row>
    <row r="233" spans="1:4">
      <c r="A233" s="8" t="s">
        <v>575</v>
      </c>
      <c r="B233" s="5"/>
      <c r="C233" s="2">
        <v>0</v>
      </c>
      <c r="D233" s="77"/>
    </row>
    <row r="234" spans="1:4">
      <c r="A234" s="8" t="s">
        <v>576</v>
      </c>
      <c r="B234" s="3"/>
      <c r="C234" s="4">
        <v>0</v>
      </c>
      <c r="D234" s="68"/>
    </row>
    <row r="235" spans="1:4">
      <c r="A235" s="8" t="s">
        <v>577</v>
      </c>
      <c r="B235" s="5"/>
      <c r="C235" s="2">
        <v>0</v>
      </c>
      <c r="D235" s="77"/>
    </row>
    <row r="236" spans="1:4">
      <c r="A236" s="8" t="s">
        <v>578</v>
      </c>
      <c r="B236" s="3"/>
      <c r="C236" s="4">
        <v>0</v>
      </c>
      <c r="D236" s="68"/>
    </row>
    <row r="237" spans="1:4">
      <c r="A237" s="8" t="s">
        <v>579</v>
      </c>
      <c r="B237" s="5"/>
      <c r="C237" s="2">
        <v>0</v>
      </c>
      <c r="D237" s="77"/>
    </row>
    <row r="238" spans="1:4">
      <c r="A238" s="8" t="s">
        <v>580</v>
      </c>
      <c r="B238" s="3"/>
      <c r="C238" s="4">
        <v>0</v>
      </c>
      <c r="D238" s="68"/>
    </row>
    <row r="239" spans="1:4">
      <c r="A239" s="8" t="s">
        <v>581</v>
      </c>
      <c r="B239" s="5"/>
      <c r="C239" s="2">
        <v>0</v>
      </c>
      <c r="D239" s="77"/>
    </row>
    <row r="240" spans="1:4">
      <c r="A240" s="8" t="s">
        <v>178</v>
      </c>
      <c r="B240" s="4">
        <v>4.5999999999999999E-2</v>
      </c>
      <c r="C240" s="4">
        <v>1.61E-2</v>
      </c>
      <c r="D240" s="78">
        <v>35.1</v>
      </c>
    </row>
    <row r="241" spans="1:4">
      <c r="A241" s="8" t="s">
        <v>179</v>
      </c>
      <c r="B241" s="2">
        <v>8.4100000000000008E-3</v>
      </c>
      <c r="C241" s="2">
        <v>2.03E-4</v>
      </c>
      <c r="D241" s="79">
        <v>2.42</v>
      </c>
    </row>
    <row r="242" spans="1:4">
      <c r="A242" s="8" t="s">
        <v>180</v>
      </c>
      <c r="B242" s="3"/>
      <c r="C242" s="4">
        <v>0</v>
      </c>
      <c r="D242" s="68"/>
    </row>
    <row r="243" spans="1:4">
      <c r="A243" s="8" t="s">
        <v>181</v>
      </c>
      <c r="B243" s="2">
        <v>5.94E-3</v>
      </c>
      <c r="C243" s="2">
        <v>3.39E-4</v>
      </c>
      <c r="D243" s="79">
        <v>5.7</v>
      </c>
    </row>
    <row r="244" spans="1:4">
      <c r="A244" s="8" t="s">
        <v>582</v>
      </c>
      <c r="B244" s="3"/>
      <c r="C244" s="4">
        <v>0</v>
      </c>
      <c r="D244" s="68"/>
    </row>
    <row r="245" spans="1:4">
      <c r="A245" s="8" t="s">
        <v>583</v>
      </c>
      <c r="B245" s="5"/>
      <c r="C245" s="2">
        <v>0</v>
      </c>
      <c r="D245" s="77"/>
    </row>
    <row r="246" spans="1:4">
      <c r="A246" s="8" t="s">
        <v>182</v>
      </c>
      <c r="B246" s="4">
        <v>0.309</v>
      </c>
      <c r="C246" s="4">
        <v>0.21</v>
      </c>
      <c r="D246" s="78">
        <v>68</v>
      </c>
    </row>
    <row r="247" spans="1:4">
      <c r="A247" s="8" t="s">
        <v>183</v>
      </c>
      <c r="B247" s="2">
        <v>1.7899999999999999E-2</v>
      </c>
      <c r="C247" s="2">
        <v>1.37E-2</v>
      </c>
      <c r="D247" s="79">
        <v>76.900000000000006</v>
      </c>
    </row>
    <row r="248" spans="1:4">
      <c r="A248" s="8" t="s">
        <v>584</v>
      </c>
      <c r="B248" s="3"/>
      <c r="C248" s="4">
        <v>0</v>
      </c>
      <c r="D248" s="68"/>
    </row>
    <row r="249" spans="1:4">
      <c r="A249" s="8" t="s">
        <v>585</v>
      </c>
      <c r="B249" s="5"/>
      <c r="C249" s="2">
        <v>0</v>
      </c>
      <c r="D249" s="77"/>
    </row>
    <row r="250" spans="1:4">
      <c r="A250" s="8" t="s">
        <v>586</v>
      </c>
      <c r="B250" s="3"/>
      <c r="C250" s="4">
        <v>0</v>
      </c>
      <c r="D250" s="68"/>
    </row>
    <row r="251" spans="1:4">
      <c r="A251" s="8" t="s">
        <v>587</v>
      </c>
      <c r="B251" s="5"/>
      <c r="C251" s="2">
        <v>0</v>
      </c>
      <c r="D251" s="77"/>
    </row>
    <row r="252" spans="1:4">
      <c r="A252" s="8" t="s">
        <v>588</v>
      </c>
      <c r="B252" s="3"/>
      <c r="C252" s="4">
        <v>0</v>
      </c>
      <c r="D252" s="68"/>
    </row>
    <row r="253" spans="1:4">
      <c r="A253" s="8" t="s">
        <v>184</v>
      </c>
      <c r="B253" s="2">
        <v>7.5199999999999998E-3</v>
      </c>
      <c r="C253" s="2">
        <v>2.7399999999999998E-3</v>
      </c>
      <c r="D253" s="79">
        <v>36.4</v>
      </c>
    </row>
    <row r="254" spans="1:4">
      <c r="A254" s="8" t="s">
        <v>589</v>
      </c>
      <c r="B254" s="3"/>
      <c r="C254" s="4">
        <v>0</v>
      </c>
      <c r="D254" s="68"/>
    </row>
    <row r="255" spans="1:4">
      <c r="A255" s="8" t="s">
        <v>590</v>
      </c>
      <c r="B255" s="5"/>
      <c r="C255" s="2">
        <v>0</v>
      </c>
      <c r="D255" s="77"/>
    </row>
    <row r="256" spans="1:4">
      <c r="A256" s="8" t="s">
        <v>185</v>
      </c>
      <c r="B256" s="4">
        <v>3.7200000000000002E-3</v>
      </c>
      <c r="C256" s="3"/>
      <c r="D256" s="78">
        <v>0</v>
      </c>
    </row>
    <row r="257" spans="1:4">
      <c r="A257" s="8" t="s">
        <v>186</v>
      </c>
      <c r="B257" s="2">
        <v>16.100000000000001</v>
      </c>
      <c r="C257" s="2">
        <v>13.9</v>
      </c>
      <c r="D257" s="79">
        <v>86.3</v>
      </c>
    </row>
    <row r="258" spans="1:4">
      <c r="A258" s="8" t="s">
        <v>591</v>
      </c>
      <c r="B258" s="3"/>
      <c r="C258" s="4">
        <v>0</v>
      </c>
      <c r="D258" s="68"/>
    </row>
    <row r="259" spans="1:4">
      <c r="A259" s="8" t="s">
        <v>592</v>
      </c>
      <c r="B259" s="5"/>
      <c r="C259" s="2">
        <v>0</v>
      </c>
      <c r="D259" s="77"/>
    </row>
    <row r="260" spans="1:4">
      <c r="A260" s="8" t="s">
        <v>593</v>
      </c>
      <c r="B260" s="3"/>
      <c r="C260" s="4">
        <v>0</v>
      </c>
      <c r="D260" s="68"/>
    </row>
    <row r="261" spans="1:4">
      <c r="A261" s="8" t="s">
        <v>187</v>
      </c>
      <c r="B261" s="2">
        <v>9.4200000000000006E-2</v>
      </c>
      <c r="C261" s="2">
        <v>3.4099999999999998E-2</v>
      </c>
      <c r="D261" s="79">
        <v>36.200000000000003</v>
      </c>
    </row>
    <row r="262" spans="1:4">
      <c r="A262" s="8" t="s">
        <v>594</v>
      </c>
      <c r="B262" s="3"/>
      <c r="C262" s="4">
        <v>0</v>
      </c>
      <c r="D262" s="68"/>
    </row>
    <row r="263" spans="1:4">
      <c r="A263" s="8" t="s">
        <v>595</v>
      </c>
      <c r="B263" s="5"/>
      <c r="C263" s="2">
        <v>0</v>
      </c>
      <c r="D263" s="77"/>
    </row>
    <row r="264" spans="1:4">
      <c r="A264" s="8" t="s">
        <v>596</v>
      </c>
      <c r="B264" s="3"/>
      <c r="C264" s="4">
        <v>0</v>
      </c>
      <c r="D264" s="68"/>
    </row>
    <row r="265" spans="1:4">
      <c r="A265" s="8" t="s">
        <v>188</v>
      </c>
      <c r="B265" s="2">
        <v>0.20100000000000001</v>
      </c>
      <c r="C265" s="2">
        <v>1.6899999999999998E-2</v>
      </c>
      <c r="D265" s="79">
        <v>8.41</v>
      </c>
    </row>
    <row r="266" spans="1:4">
      <c r="A266" s="8" t="s">
        <v>189</v>
      </c>
      <c r="B266" s="3"/>
      <c r="C266" s="4">
        <v>0</v>
      </c>
      <c r="D266" s="68"/>
    </row>
    <row r="267" spans="1:4">
      <c r="A267" s="8" t="s">
        <v>190</v>
      </c>
      <c r="B267" s="2">
        <v>4.3999999999999997E-2</v>
      </c>
      <c r="C267" s="2">
        <v>1.46E-2</v>
      </c>
      <c r="D267" s="79">
        <v>33.299999999999997</v>
      </c>
    </row>
    <row r="268" spans="1:4">
      <c r="A268" s="8" t="s">
        <v>597</v>
      </c>
      <c r="B268" s="3"/>
      <c r="C268" s="4">
        <v>0</v>
      </c>
      <c r="D268" s="68"/>
    </row>
    <row r="269" spans="1:4">
      <c r="A269" s="8" t="s">
        <v>191</v>
      </c>
      <c r="B269" s="2">
        <v>9.1699999999999993E-3</v>
      </c>
      <c r="C269" s="2">
        <v>5.0600000000000003E-3</v>
      </c>
      <c r="D269" s="79">
        <v>55.1</v>
      </c>
    </row>
    <row r="270" spans="1:4">
      <c r="A270" s="8" t="s">
        <v>598</v>
      </c>
      <c r="B270" s="3"/>
      <c r="C270" s="4">
        <v>0</v>
      </c>
      <c r="D270" s="68"/>
    </row>
    <row r="271" spans="1:4">
      <c r="A271" s="8" t="s">
        <v>192</v>
      </c>
      <c r="B271" s="2">
        <v>0.14799999999999999</v>
      </c>
      <c r="C271" s="2">
        <v>8.2299999999999998E-2</v>
      </c>
      <c r="D271" s="79">
        <v>55.6</v>
      </c>
    </row>
    <row r="272" spans="1:4">
      <c r="A272" s="8" t="s">
        <v>599</v>
      </c>
      <c r="B272" s="3"/>
      <c r="C272" s="4">
        <v>0</v>
      </c>
      <c r="D272" s="68"/>
    </row>
    <row r="273" spans="1:4">
      <c r="A273" s="8" t="s">
        <v>600</v>
      </c>
      <c r="B273" s="5"/>
      <c r="C273" s="2">
        <v>0</v>
      </c>
      <c r="D273" s="77"/>
    </row>
    <row r="274" spans="1:4">
      <c r="A274" s="8" t="s">
        <v>601</v>
      </c>
      <c r="B274" s="3"/>
      <c r="C274" s="4">
        <v>0</v>
      </c>
      <c r="D274" s="68"/>
    </row>
    <row r="275" spans="1:4">
      <c r="A275" s="8" t="s">
        <v>602</v>
      </c>
      <c r="B275" s="5"/>
      <c r="C275" s="2">
        <v>0</v>
      </c>
      <c r="D275" s="77"/>
    </row>
    <row r="276" spans="1:4">
      <c r="A276" s="8" t="s">
        <v>193</v>
      </c>
      <c r="B276" s="4">
        <v>7.6699999999999997E-3</v>
      </c>
      <c r="C276" s="3"/>
      <c r="D276" s="78">
        <v>0</v>
      </c>
    </row>
    <row r="277" spans="1:4">
      <c r="A277" s="8" t="s">
        <v>603</v>
      </c>
      <c r="B277" s="5"/>
      <c r="C277" s="2">
        <v>0</v>
      </c>
      <c r="D277" s="77"/>
    </row>
    <row r="278" spans="1:4">
      <c r="A278" s="8" t="s">
        <v>604</v>
      </c>
      <c r="B278" s="3"/>
      <c r="C278" s="4">
        <v>0</v>
      </c>
      <c r="D278" s="68"/>
    </row>
    <row r="279" spans="1:4">
      <c r="A279" s="8" t="s">
        <v>605</v>
      </c>
      <c r="B279" s="5"/>
      <c r="C279" s="2">
        <v>0</v>
      </c>
      <c r="D279" s="77"/>
    </row>
    <row r="280" spans="1:4">
      <c r="A280" s="8" t="s">
        <v>606</v>
      </c>
      <c r="B280" s="3"/>
      <c r="C280" s="4">
        <v>0</v>
      </c>
      <c r="D280" s="68"/>
    </row>
    <row r="281" spans="1:4">
      <c r="A281" s="8" t="s">
        <v>607</v>
      </c>
      <c r="B281" s="5"/>
      <c r="C281" s="2">
        <v>0</v>
      </c>
      <c r="D281" s="77"/>
    </row>
    <row r="282" spans="1:4">
      <c r="A282" s="8" t="s">
        <v>608</v>
      </c>
      <c r="B282" s="3"/>
      <c r="C282" s="4">
        <v>0</v>
      </c>
      <c r="D282" s="68"/>
    </row>
    <row r="283" spans="1:4">
      <c r="A283" s="8" t="s">
        <v>609</v>
      </c>
      <c r="B283" s="5"/>
      <c r="C283" s="2">
        <v>0</v>
      </c>
      <c r="D283" s="77"/>
    </row>
    <row r="284" spans="1:4">
      <c r="A284" s="8" t="s">
        <v>610</v>
      </c>
      <c r="B284" s="3"/>
      <c r="C284" s="4">
        <v>0</v>
      </c>
      <c r="D284" s="68"/>
    </row>
    <row r="285" spans="1:4">
      <c r="A285" s="8" t="s">
        <v>194</v>
      </c>
      <c r="B285" s="2">
        <v>3.5900000000000001E-2</v>
      </c>
      <c r="C285" s="2">
        <v>7.0600000000000003E-3</v>
      </c>
      <c r="D285" s="79">
        <v>19.7</v>
      </c>
    </row>
    <row r="286" spans="1:4">
      <c r="A286" s="8" t="s">
        <v>611</v>
      </c>
      <c r="B286" s="3"/>
      <c r="C286" s="4">
        <v>0</v>
      </c>
      <c r="D286" s="68"/>
    </row>
    <row r="287" spans="1:4">
      <c r="A287" s="8" t="s">
        <v>612</v>
      </c>
      <c r="B287" s="5"/>
      <c r="C287" s="2">
        <v>0</v>
      </c>
      <c r="D287" s="77"/>
    </row>
    <row r="288" spans="1:4">
      <c r="A288" s="8" t="s">
        <v>195</v>
      </c>
      <c r="B288" s="4">
        <v>2.63E-3</v>
      </c>
      <c r="C288" s="3"/>
      <c r="D288" s="78">
        <v>0</v>
      </c>
    </row>
    <row r="289" spans="1:4">
      <c r="A289" s="8" t="s">
        <v>196</v>
      </c>
      <c r="B289" s="5"/>
      <c r="C289" s="2">
        <v>0</v>
      </c>
      <c r="D289" s="77"/>
    </row>
    <row r="290" spans="1:4">
      <c r="A290" s="8" t="s">
        <v>613</v>
      </c>
      <c r="B290" s="3"/>
      <c r="C290" s="4">
        <v>0</v>
      </c>
      <c r="D290" s="68"/>
    </row>
    <row r="291" spans="1:4">
      <c r="A291" s="8" t="s">
        <v>197</v>
      </c>
      <c r="B291" s="2">
        <v>9.3100000000000006E-3</v>
      </c>
      <c r="C291" s="2">
        <v>3.5899999999999999E-3</v>
      </c>
      <c r="D291" s="79">
        <v>38.6</v>
      </c>
    </row>
    <row r="292" spans="1:4">
      <c r="A292" s="8" t="s">
        <v>614</v>
      </c>
      <c r="B292" s="3"/>
      <c r="C292" s="4">
        <v>0</v>
      </c>
      <c r="D292" s="68"/>
    </row>
    <row r="293" spans="1:4">
      <c r="A293" s="8" t="s">
        <v>198</v>
      </c>
      <c r="B293" s="2">
        <v>0.222</v>
      </c>
      <c r="C293" s="2">
        <v>0.17399999999999999</v>
      </c>
      <c r="D293" s="79">
        <v>78.5</v>
      </c>
    </row>
    <row r="294" spans="1:4">
      <c r="A294" s="8" t="s">
        <v>615</v>
      </c>
      <c r="B294" s="3"/>
      <c r="C294" s="4">
        <v>0</v>
      </c>
      <c r="D294" s="68"/>
    </row>
    <row r="295" spans="1:4">
      <c r="A295" s="8" t="s">
        <v>616</v>
      </c>
      <c r="B295" s="5"/>
      <c r="C295" s="2">
        <v>0</v>
      </c>
      <c r="D295" s="77"/>
    </row>
    <row r="296" spans="1:4">
      <c r="A296" s="8" t="s">
        <v>617</v>
      </c>
      <c r="B296" s="3"/>
      <c r="C296" s="4">
        <v>0</v>
      </c>
      <c r="D296" s="68"/>
    </row>
    <row r="297" spans="1:4">
      <c r="A297" s="8" t="s">
        <v>199</v>
      </c>
      <c r="B297" s="2">
        <v>6.0499999999999998E-3</v>
      </c>
      <c r="C297" s="5"/>
      <c r="D297" s="79">
        <v>0</v>
      </c>
    </row>
    <row r="298" spans="1:4">
      <c r="A298" s="8" t="s">
        <v>618</v>
      </c>
      <c r="B298" s="3"/>
      <c r="C298" s="4">
        <v>0</v>
      </c>
      <c r="D298" s="68"/>
    </row>
    <row r="299" spans="1:4">
      <c r="A299" s="8" t="s">
        <v>200</v>
      </c>
      <c r="B299" s="2">
        <v>1.6999999999999999E-3</v>
      </c>
      <c r="C299" s="5"/>
      <c r="D299" s="79">
        <v>0</v>
      </c>
    </row>
    <row r="300" spans="1:4">
      <c r="A300" s="8" t="s">
        <v>201</v>
      </c>
      <c r="B300" s="4">
        <v>5.5999999999999999E-3</v>
      </c>
      <c r="C300" s="3"/>
      <c r="D300" s="78">
        <v>0</v>
      </c>
    </row>
    <row r="301" spans="1:4">
      <c r="A301" s="8" t="s">
        <v>202</v>
      </c>
      <c r="B301" s="5"/>
      <c r="C301" s="2">
        <v>0</v>
      </c>
      <c r="D301" s="77"/>
    </row>
    <row r="302" spans="1:4">
      <c r="A302" s="8" t="s">
        <v>203</v>
      </c>
      <c r="B302" s="4">
        <v>6.2599999999999999E-3</v>
      </c>
      <c r="C302" s="3"/>
      <c r="D302" s="78">
        <v>0</v>
      </c>
    </row>
    <row r="303" spans="1:4">
      <c r="A303" s="8" t="s">
        <v>619</v>
      </c>
      <c r="B303" s="5"/>
      <c r="C303" s="2">
        <v>0</v>
      </c>
      <c r="D303" s="77"/>
    </row>
    <row r="304" spans="1:4">
      <c r="A304" s="8" t="s">
        <v>204</v>
      </c>
      <c r="B304" s="4">
        <v>2.5799999999999998E-3</v>
      </c>
      <c r="C304" s="3"/>
      <c r="D304" s="78">
        <v>0</v>
      </c>
    </row>
    <row r="305" spans="1:4">
      <c r="A305" s="8" t="s">
        <v>205</v>
      </c>
      <c r="B305" s="2">
        <v>8.7200000000000003E-3</v>
      </c>
      <c r="C305" s="5"/>
      <c r="D305" s="79">
        <v>0</v>
      </c>
    </row>
    <row r="306" spans="1:4">
      <c r="A306" s="8" t="s">
        <v>206</v>
      </c>
      <c r="B306" s="4">
        <v>0.13</v>
      </c>
      <c r="C306" s="4">
        <v>2.1499999999999998E-2</v>
      </c>
      <c r="D306" s="78">
        <v>16.5</v>
      </c>
    </row>
    <row r="307" spans="1:4">
      <c r="A307" s="8" t="s">
        <v>207</v>
      </c>
      <c r="B307" s="2">
        <v>3.3099999999999997E-2</v>
      </c>
      <c r="C307" s="5"/>
      <c r="D307" s="79">
        <v>0</v>
      </c>
    </row>
    <row r="308" spans="1:4">
      <c r="A308" s="8" t="s">
        <v>208</v>
      </c>
      <c r="B308" s="4">
        <v>0.114</v>
      </c>
      <c r="C308" s="4">
        <v>9.0399999999999994E-3</v>
      </c>
      <c r="D308" s="78">
        <v>7.96</v>
      </c>
    </row>
    <row r="309" spans="1:4">
      <c r="A309" s="8" t="s">
        <v>620</v>
      </c>
      <c r="B309" s="5"/>
      <c r="C309" s="2">
        <v>0</v>
      </c>
      <c r="D309" s="77"/>
    </row>
    <row r="310" spans="1:4">
      <c r="A310" s="8" t="s">
        <v>621</v>
      </c>
      <c r="B310" s="3"/>
      <c r="C310" s="4">
        <v>0</v>
      </c>
      <c r="D310" s="68"/>
    </row>
    <row r="311" spans="1:4">
      <c r="A311" s="8" t="s">
        <v>209</v>
      </c>
      <c r="B311" s="2">
        <v>0.112</v>
      </c>
      <c r="C311" s="2">
        <v>5.8900000000000001E-2</v>
      </c>
      <c r="D311" s="79">
        <v>52.6</v>
      </c>
    </row>
    <row r="312" spans="1:4">
      <c r="A312" s="8" t="s">
        <v>622</v>
      </c>
      <c r="B312" s="3"/>
      <c r="C312" s="4">
        <v>0</v>
      </c>
      <c r="D312" s="68"/>
    </row>
    <row r="313" spans="1:4">
      <c r="A313" s="8" t="s">
        <v>623</v>
      </c>
      <c r="B313" s="5"/>
      <c r="C313" s="2">
        <v>0</v>
      </c>
      <c r="D313" s="77"/>
    </row>
    <row r="314" spans="1:4">
      <c r="A314" s="8" t="s">
        <v>624</v>
      </c>
      <c r="B314" s="3"/>
      <c r="C314" s="4">
        <v>0</v>
      </c>
      <c r="D314" s="68"/>
    </row>
    <row r="315" spans="1:4">
      <c r="A315" s="8" t="s">
        <v>625</v>
      </c>
      <c r="B315" s="5"/>
      <c r="C315" s="2">
        <v>0</v>
      </c>
      <c r="D315" s="77"/>
    </row>
    <row r="316" spans="1:4">
      <c r="A316" s="8" t="s">
        <v>210</v>
      </c>
      <c r="B316" s="4">
        <v>9.7199999999999995E-2</v>
      </c>
      <c r="C316" s="4">
        <v>1.7500000000000002E-2</v>
      </c>
      <c r="D316" s="78">
        <v>18</v>
      </c>
    </row>
    <row r="317" spans="1:4">
      <c r="A317" s="8" t="s">
        <v>211</v>
      </c>
      <c r="B317" s="2">
        <v>0.32900000000000001</v>
      </c>
      <c r="C317" s="2">
        <v>0.14599999999999999</v>
      </c>
      <c r="D317" s="79">
        <v>44.4</v>
      </c>
    </row>
    <row r="318" spans="1:4">
      <c r="A318" s="8" t="s">
        <v>626</v>
      </c>
      <c r="B318" s="3"/>
      <c r="C318" s="4">
        <v>0</v>
      </c>
      <c r="D318" s="68"/>
    </row>
    <row r="319" spans="1:4">
      <c r="A319" s="8" t="s">
        <v>627</v>
      </c>
      <c r="B319" s="5"/>
      <c r="C319" s="2">
        <v>0</v>
      </c>
      <c r="D319" s="77"/>
    </row>
    <row r="320" spans="1:4">
      <c r="A320" s="8" t="s">
        <v>628</v>
      </c>
      <c r="B320" s="3"/>
      <c r="C320" s="4">
        <v>0</v>
      </c>
      <c r="D320" s="68"/>
    </row>
    <row r="321" spans="1:4">
      <c r="A321" s="8" t="s">
        <v>212</v>
      </c>
      <c r="B321" s="2">
        <v>0.158</v>
      </c>
      <c r="C321" s="2">
        <v>6.4600000000000005E-2</v>
      </c>
      <c r="D321" s="79">
        <v>41</v>
      </c>
    </row>
    <row r="322" spans="1:4">
      <c r="A322" s="8" t="s">
        <v>213</v>
      </c>
      <c r="B322" s="3"/>
      <c r="C322" s="4">
        <v>0</v>
      </c>
      <c r="D322" s="68"/>
    </row>
    <row r="323" spans="1:4">
      <c r="A323" s="8" t="s">
        <v>214</v>
      </c>
      <c r="B323" s="2">
        <v>0.29499999999999998</v>
      </c>
      <c r="C323" s="2">
        <v>7.6600000000000001E-2</v>
      </c>
      <c r="D323" s="79">
        <v>26</v>
      </c>
    </row>
    <row r="324" spans="1:4">
      <c r="A324" s="8" t="s">
        <v>629</v>
      </c>
      <c r="B324" s="3"/>
      <c r="C324" s="4">
        <v>0</v>
      </c>
      <c r="D324" s="68"/>
    </row>
    <row r="325" spans="1:4">
      <c r="A325" s="8" t="s">
        <v>215</v>
      </c>
      <c r="B325" s="2">
        <v>5.0699999999999999E-3</v>
      </c>
      <c r="C325" s="5"/>
      <c r="D325" s="79">
        <v>0</v>
      </c>
    </row>
    <row r="326" spans="1:4">
      <c r="A326" s="8" t="s">
        <v>630</v>
      </c>
      <c r="B326" s="3"/>
      <c r="C326" s="4">
        <v>0</v>
      </c>
      <c r="D326" s="68"/>
    </row>
    <row r="327" spans="1:4">
      <c r="A327" s="8" t="s">
        <v>631</v>
      </c>
      <c r="B327" s="5"/>
      <c r="C327" s="2">
        <v>0</v>
      </c>
      <c r="D327" s="77"/>
    </row>
    <row r="328" spans="1:4">
      <c r="A328" s="8" t="s">
        <v>216</v>
      </c>
      <c r="B328" s="4">
        <v>7.4999999999999997E-3</v>
      </c>
      <c r="C328" s="3"/>
      <c r="D328" s="78">
        <v>0</v>
      </c>
    </row>
    <row r="329" spans="1:4">
      <c r="A329" s="8" t="s">
        <v>632</v>
      </c>
      <c r="B329" s="5"/>
      <c r="C329" s="2">
        <v>0</v>
      </c>
      <c r="D329" s="77"/>
    </row>
    <row r="330" spans="1:4">
      <c r="A330" s="8" t="s">
        <v>217</v>
      </c>
      <c r="B330" s="4">
        <v>8.7599999999999997E-2</v>
      </c>
      <c r="C330" s="4">
        <v>4.5199999999999997E-2</v>
      </c>
      <c r="D330" s="78">
        <v>51.6</v>
      </c>
    </row>
    <row r="331" spans="1:4">
      <c r="A331" s="8" t="s">
        <v>633</v>
      </c>
      <c r="B331" s="5"/>
      <c r="C331" s="2">
        <v>0</v>
      </c>
      <c r="D331" s="77"/>
    </row>
    <row r="332" spans="1:4">
      <c r="A332" s="8" t="s">
        <v>634</v>
      </c>
      <c r="B332" s="3"/>
      <c r="C332" s="4">
        <v>0</v>
      </c>
      <c r="D332" s="68"/>
    </row>
    <row r="333" spans="1:4">
      <c r="A333" s="8" t="s">
        <v>218</v>
      </c>
      <c r="B333" s="2">
        <v>2.31E-3</v>
      </c>
      <c r="C333" s="2">
        <v>6.69E-4</v>
      </c>
      <c r="D333" s="79">
        <v>28.9</v>
      </c>
    </row>
    <row r="334" spans="1:4">
      <c r="A334" s="8" t="s">
        <v>635</v>
      </c>
      <c r="B334" s="3"/>
      <c r="C334" s="4">
        <v>0</v>
      </c>
      <c r="D334" s="68"/>
    </row>
    <row r="335" spans="1:4">
      <c r="A335" s="8" t="s">
        <v>636</v>
      </c>
      <c r="B335" s="5"/>
      <c r="C335" s="2">
        <v>0</v>
      </c>
      <c r="D335" s="77"/>
    </row>
    <row r="336" spans="1:4">
      <c r="A336" s="8" t="s">
        <v>219</v>
      </c>
      <c r="B336" s="4">
        <v>2.3E-3</v>
      </c>
      <c r="C336" s="3"/>
      <c r="D336" s="78">
        <v>0</v>
      </c>
    </row>
    <row r="337" spans="1:4">
      <c r="A337" s="8" t="s">
        <v>220</v>
      </c>
      <c r="B337" s="2">
        <v>1.6900000000000001E-3</v>
      </c>
      <c r="C337" s="2">
        <v>1.1100000000000001E-3</v>
      </c>
      <c r="D337" s="79">
        <v>65.599999999999994</v>
      </c>
    </row>
    <row r="338" spans="1:4">
      <c r="A338" s="8" t="s">
        <v>221</v>
      </c>
      <c r="B338" s="3"/>
      <c r="C338" s="4">
        <v>0</v>
      </c>
      <c r="D338" s="68"/>
    </row>
    <row r="339" spans="1:4">
      <c r="A339" s="8" t="s">
        <v>222</v>
      </c>
      <c r="B339" s="2">
        <v>0.64100000000000001</v>
      </c>
      <c r="C339" s="2">
        <v>0.38800000000000001</v>
      </c>
      <c r="D339" s="79">
        <v>60.5</v>
      </c>
    </row>
    <row r="340" spans="1:4">
      <c r="A340" s="8" t="s">
        <v>223</v>
      </c>
      <c r="B340" s="4">
        <v>1.2600000000000001E-3</v>
      </c>
      <c r="C340" s="3"/>
      <c r="D340" s="78">
        <v>0</v>
      </c>
    </row>
    <row r="341" spans="1:4">
      <c r="A341" s="8" t="s">
        <v>224</v>
      </c>
      <c r="B341" s="2">
        <v>0.33500000000000002</v>
      </c>
      <c r="C341" s="2">
        <v>8.1600000000000006E-2</v>
      </c>
      <c r="D341" s="79">
        <v>24.4</v>
      </c>
    </row>
    <row r="342" spans="1:4">
      <c r="A342" s="8" t="s">
        <v>225</v>
      </c>
      <c r="B342" s="4">
        <v>4.3400000000000001E-3</v>
      </c>
      <c r="C342" s="3"/>
      <c r="D342" s="78">
        <v>0</v>
      </c>
    </row>
    <row r="343" spans="1:4">
      <c r="A343" s="8" t="s">
        <v>637</v>
      </c>
      <c r="B343" s="5"/>
      <c r="C343" s="2">
        <v>0</v>
      </c>
      <c r="D343" s="77"/>
    </row>
    <row r="344" spans="1:4">
      <c r="A344" s="8" t="s">
        <v>638</v>
      </c>
      <c r="B344" s="3"/>
      <c r="C344" s="4">
        <v>0</v>
      </c>
      <c r="D344" s="68"/>
    </row>
    <row r="345" spans="1:4">
      <c r="A345" s="8" t="s">
        <v>226</v>
      </c>
      <c r="B345" s="2">
        <v>5.26</v>
      </c>
      <c r="C345" s="2">
        <v>2.15</v>
      </c>
      <c r="D345" s="79">
        <v>40.9</v>
      </c>
    </row>
    <row r="346" spans="1:4">
      <c r="A346" s="8" t="s">
        <v>639</v>
      </c>
      <c r="B346" s="3"/>
      <c r="C346" s="4">
        <v>0</v>
      </c>
      <c r="D346" s="68"/>
    </row>
    <row r="347" spans="1:4">
      <c r="A347" s="8" t="s">
        <v>227</v>
      </c>
      <c r="B347" s="2">
        <v>2.24E-2</v>
      </c>
      <c r="C347" s="2">
        <v>1.1999999999999999E-3</v>
      </c>
      <c r="D347" s="79">
        <v>5.34</v>
      </c>
    </row>
    <row r="348" spans="1:4">
      <c r="A348" s="8" t="s">
        <v>640</v>
      </c>
      <c r="B348" s="3"/>
      <c r="C348" s="4">
        <v>0</v>
      </c>
      <c r="D348" s="68"/>
    </row>
    <row r="349" spans="1:4">
      <c r="A349" s="8" t="s">
        <v>641</v>
      </c>
      <c r="B349" s="5"/>
      <c r="C349" s="2">
        <v>0</v>
      </c>
      <c r="D349" s="77"/>
    </row>
    <row r="350" spans="1:4">
      <c r="A350" s="8" t="s">
        <v>228</v>
      </c>
      <c r="B350" s="4">
        <v>3.1800000000000002E-2</v>
      </c>
      <c r="C350" s="4">
        <v>6.8199999999999997E-3</v>
      </c>
      <c r="D350" s="78">
        <v>21.5</v>
      </c>
    </row>
    <row r="351" spans="1:4">
      <c r="A351" s="8" t="s">
        <v>642</v>
      </c>
      <c r="B351" s="5"/>
      <c r="C351" s="2">
        <v>0</v>
      </c>
      <c r="D351" s="77"/>
    </row>
    <row r="352" spans="1:4">
      <c r="A352" s="8" t="s">
        <v>643</v>
      </c>
      <c r="B352" s="3"/>
      <c r="C352" s="4">
        <v>0</v>
      </c>
      <c r="D352" s="68"/>
    </row>
    <row r="353" spans="1:4">
      <c r="A353" s="8" t="s">
        <v>644</v>
      </c>
      <c r="B353" s="5"/>
      <c r="C353" s="2">
        <v>0</v>
      </c>
      <c r="D353" s="77"/>
    </row>
    <row r="354" spans="1:4">
      <c r="A354" s="8" t="s">
        <v>229</v>
      </c>
      <c r="B354" s="4">
        <v>5.11E-2</v>
      </c>
      <c r="C354" s="4">
        <v>8.4900000000000003E-2</v>
      </c>
      <c r="D354" s="78">
        <v>166</v>
      </c>
    </row>
    <row r="355" spans="1:4">
      <c r="A355" s="8" t="s">
        <v>645</v>
      </c>
      <c r="B355" s="5"/>
      <c r="C355" s="2">
        <v>0</v>
      </c>
      <c r="D355" s="77"/>
    </row>
    <row r="356" spans="1:4">
      <c r="A356" s="8" t="s">
        <v>230</v>
      </c>
      <c r="B356" s="4">
        <v>5.8599999999999999E-2</v>
      </c>
      <c r="C356" s="4">
        <v>1.7500000000000002E-2</v>
      </c>
      <c r="D356" s="78">
        <v>29.9</v>
      </c>
    </row>
    <row r="357" spans="1:4">
      <c r="A357" s="8" t="s">
        <v>231</v>
      </c>
      <c r="B357" s="5"/>
      <c r="C357" s="2">
        <v>0</v>
      </c>
      <c r="D357" s="77"/>
    </row>
    <row r="358" spans="1:4">
      <c r="A358" s="8" t="s">
        <v>232</v>
      </c>
      <c r="B358" s="4">
        <v>2.2100000000000002E-3</v>
      </c>
      <c r="C358" s="3"/>
      <c r="D358" s="78">
        <v>0</v>
      </c>
    </row>
    <row r="359" spans="1:4">
      <c r="A359" s="8" t="s">
        <v>646</v>
      </c>
      <c r="B359" s="5"/>
      <c r="C359" s="2">
        <v>0</v>
      </c>
      <c r="D359" s="77"/>
    </row>
    <row r="360" spans="1:4">
      <c r="A360" s="8" t="s">
        <v>647</v>
      </c>
      <c r="B360" s="3"/>
      <c r="C360" s="4">
        <v>0</v>
      </c>
      <c r="D360" s="68"/>
    </row>
    <row r="361" spans="1:4">
      <c r="A361" s="8" t="s">
        <v>233</v>
      </c>
      <c r="B361" s="2">
        <v>2.15E-3</v>
      </c>
      <c r="C361" s="5"/>
      <c r="D361" s="79">
        <v>0</v>
      </c>
    </row>
    <row r="362" spans="1:4">
      <c r="A362" s="8" t="s">
        <v>234</v>
      </c>
      <c r="B362" s="4">
        <v>1.24E-3</v>
      </c>
      <c r="C362" s="4">
        <v>8.5099999999999998E-4</v>
      </c>
      <c r="D362" s="78">
        <v>68.400000000000006</v>
      </c>
    </row>
    <row r="363" spans="1:4">
      <c r="A363" s="8" t="s">
        <v>235</v>
      </c>
      <c r="B363" s="2">
        <v>7.85E-2</v>
      </c>
      <c r="C363" s="2">
        <v>5.9200000000000003E-2</v>
      </c>
      <c r="D363" s="79">
        <v>75.400000000000006</v>
      </c>
    </row>
    <row r="364" spans="1:4">
      <c r="A364" s="8" t="s">
        <v>648</v>
      </c>
      <c r="B364" s="3"/>
      <c r="C364" s="4">
        <v>0</v>
      </c>
      <c r="D364" s="68"/>
    </row>
    <row r="365" spans="1:4">
      <c r="A365" s="8" t="s">
        <v>649</v>
      </c>
      <c r="B365" s="5"/>
      <c r="C365" s="2">
        <v>0</v>
      </c>
      <c r="D365" s="77"/>
    </row>
    <row r="366" spans="1:4">
      <c r="A366" s="8" t="s">
        <v>650</v>
      </c>
      <c r="B366" s="3"/>
      <c r="C366" s="4">
        <v>0</v>
      </c>
      <c r="D366" s="68"/>
    </row>
    <row r="367" spans="1:4">
      <c r="A367" s="8" t="s">
        <v>651</v>
      </c>
      <c r="B367" s="5"/>
      <c r="C367" s="2">
        <v>0</v>
      </c>
      <c r="D367" s="77"/>
    </row>
    <row r="368" spans="1:4">
      <c r="A368" s="8" t="s">
        <v>652</v>
      </c>
      <c r="B368" s="3"/>
      <c r="C368" s="4">
        <v>0</v>
      </c>
      <c r="D368" s="68"/>
    </row>
    <row r="369" spans="1:4">
      <c r="A369" s="8" t="s">
        <v>653</v>
      </c>
      <c r="B369" s="5"/>
      <c r="C369" s="2">
        <v>0</v>
      </c>
      <c r="D369" s="77"/>
    </row>
    <row r="370" spans="1:4">
      <c r="A370" s="8" t="s">
        <v>236</v>
      </c>
      <c r="B370" s="4">
        <v>0.55500000000000005</v>
      </c>
      <c r="C370" s="4">
        <v>0.14199999999999999</v>
      </c>
      <c r="D370" s="78">
        <v>25.5</v>
      </c>
    </row>
    <row r="371" spans="1:4">
      <c r="A371" s="8" t="s">
        <v>237</v>
      </c>
      <c r="B371" s="2">
        <v>1.41E-3</v>
      </c>
      <c r="C371" s="5"/>
      <c r="D371" s="79">
        <v>0</v>
      </c>
    </row>
    <row r="372" spans="1:4">
      <c r="A372" s="8" t="s">
        <v>654</v>
      </c>
      <c r="B372" s="3"/>
      <c r="C372" s="4">
        <v>0</v>
      </c>
      <c r="D372" s="68"/>
    </row>
    <row r="373" spans="1:4">
      <c r="A373" s="8" t="s">
        <v>238</v>
      </c>
      <c r="B373" s="2">
        <v>1.4E-2</v>
      </c>
      <c r="C373" s="2">
        <v>4.0499999999999998E-3</v>
      </c>
      <c r="D373" s="79">
        <v>29</v>
      </c>
    </row>
    <row r="374" spans="1:4">
      <c r="A374" s="8" t="s">
        <v>655</v>
      </c>
      <c r="B374" s="3"/>
      <c r="C374" s="4">
        <v>0</v>
      </c>
      <c r="D374" s="68"/>
    </row>
    <row r="375" spans="1:4">
      <c r="A375" s="8" t="s">
        <v>656</v>
      </c>
      <c r="B375" s="5"/>
      <c r="C375" s="2">
        <v>0</v>
      </c>
      <c r="D375" s="77"/>
    </row>
    <row r="376" spans="1:4">
      <c r="A376" s="8" t="s">
        <v>239</v>
      </c>
      <c r="B376" s="4">
        <v>2.8400000000000001E-3</v>
      </c>
      <c r="C376" s="4">
        <v>1.6299999999999999E-3</v>
      </c>
      <c r="D376" s="78">
        <v>57.4</v>
      </c>
    </row>
    <row r="377" spans="1:4">
      <c r="A377" s="8" t="s">
        <v>657</v>
      </c>
      <c r="B377" s="5"/>
      <c r="C377" s="2">
        <v>0</v>
      </c>
      <c r="D377" s="77"/>
    </row>
    <row r="378" spans="1:4">
      <c r="A378" s="8" t="s">
        <v>658</v>
      </c>
      <c r="B378" s="3"/>
      <c r="C378" s="4">
        <v>0</v>
      </c>
      <c r="D378" s="68"/>
    </row>
    <row r="379" spans="1:4">
      <c r="A379" s="8" t="s">
        <v>659</v>
      </c>
      <c r="B379" s="5"/>
      <c r="C379" s="2">
        <v>0</v>
      </c>
      <c r="D379" s="77"/>
    </row>
    <row r="380" spans="1:4">
      <c r="A380" s="8" t="s">
        <v>240</v>
      </c>
      <c r="B380" s="4">
        <v>2.5999999999999999E-2</v>
      </c>
      <c r="C380" s="4">
        <v>8.4600000000000005E-3</v>
      </c>
      <c r="D380" s="78">
        <v>32.6</v>
      </c>
    </row>
    <row r="381" spans="1:4">
      <c r="A381" s="8" t="s">
        <v>660</v>
      </c>
      <c r="B381" s="5"/>
      <c r="C381" s="2">
        <v>0</v>
      </c>
      <c r="D381" s="77"/>
    </row>
    <row r="382" spans="1:4">
      <c r="A382" s="8" t="s">
        <v>661</v>
      </c>
      <c r="B382" s="3"/>
      <c r="C382" s="4">
        <v>0</v>
      </c>
      <c r="D382" s="68"/>
    </row>
    <row r="383" spans="1:4">
      <c r="A383" s="8" t="s">
        <v>662</v>
      </c>
      <c r="B383" s="5"/>
      <c r="C383" s="2">
        <v>0</v>
      </c>
      <c r="D383" s="77"/>
    </row>
    <row r="384" spans="1:4">
      <c r="A384" s="8" t="s">
        <v>241</v>
      </c>
      <c r="B384" s="4">
        <v>5.6300000000000003E-2</v>
      </c>
      <c r="C384" s="4">
        <v>5.4799999999999996E-3</v>
      </c>
      <c r="D384" s="78">
        <v>9.74</v>
      </c>
    </row>
    <row r="385" spans="1:4">
      <c r="A385" s="8" t="s">
        <v>663</v>
      </c>
      <c r="B385" s="5"/>
      <c r="C385" s="2">
        <v>0</v>
      </c>
      <c r="D385" s="77"/>
    </row>
    <row r="386" spans="1:4">
      <c r="A386" s="8" t="s">
        <v>664</v>
      </c>
      <c r="B386" s="3"/>
      <c r="C386" s="4">
        <v>0</v>
      </c>
      <c r="D386" s="68"/>
    </row>
    <row r="387" spans="1:4">
      <c r="A387" s="8" t="s">
        <v>665</v>
      </c>
      <c r="B387" s="5"/>
      <c r="C387" s="2">
        <v>0</v>
      </c>
      <c r="D387" s="77"/>
    </row>
    <row r="388" spans="1:4">
      <c r="A388" s="8" t="s">
        <v>242</v>
      </c>
      <c r="B388" s="4">
        <v>1.17E-3</v>
      </c>
      <c r="C388" s="3"/>
      <c r="D388" s="78">
        <v>0</v>
      </c>
    </row>
    <row r="389" spans="1:4">
      <c r="A389" s="8" t="s">
        <v>666</v>
      </c>
      <c r="B389" s="5"/>
      <c r="C389" s="2">
        <v>0</v>
      </c>
      <c r="D389" s="77"/>
    </row>
    <row r="390" spans="1:4">
      <c r="A390" s="8" t="s">
        <v>667</v>
      </c>
      <c r="B390" s="3"/>
      <c r="C390" s="4">
        <v>0</v>
      </c>
      <c r="D390" s="68"/>
    </row>
    <row r="391" spans="1:4">
      <c r="A391" s="8" t="s">
        <v>668</v>
      </c>
      <c r="B391" s="5"/>
      <c r="C391" s="2">
        <v>0</v>
      </c>
      <c r="D391" s="77"/>
    </row>
    <row r="392" spans="1:4">
      <c r="A392" s="8" t="s">
        <v>669</v>
      </c>
      <c r="B392" s="3"/>
      <c r="C392" s="4">
        <v>0</v>
      </c>
      <c r="D392" s="68"/>
    </row>
    <row r="393" spans="1:4">
      <c r="A393" s="8" t="s">
        <v>243</v>
      </c>
      <c r="B393" s="2">
        <v>7.7800000000000005E-4</v>
      </c>
      <c r="C393" s="5"/>
      <c r="D393" s="79">
        <v>0</v>
      </c>
    </row>
    <row r="394" spans="1:4">
      <c r="A394" s="8" t="s">
        <v>670</v>
      </c>
      <c r="B394" s="3"/>
      <c r="C394" s="4">
        <v>0</v>
      </c>
      <c r="D394" s="68"/>
    </row>
    <row r="395" spans="1:4">
      <c r="A395" s="8" t="s">
        <v>244</v>
      </c>
      <c r="B395" s="2">
        <v>1.37E-2</v>
      </c>
      <c r="C395" s="2">
        <v>7.7299999999999999E-3</v>
      </c>
      <c r="D395" s="79">
        <v>56.3</v>
      </c>
    </row>
    <row r="396" spans="1:4">
      <c r="A396" s="8" t="s">
        <v>671</v>
      </c>
      <c r="B396" s="3"/>
      <c r="C396" s="4">
        <v>0</v>
      </c>
      <c r="D396" s="68"/>
    </row>
    <row r="397" spans="1:4">
      <c r="A397" s="8" t="s">
        <v>245</v>
      </c>
      <c r="B397" s="2">
        <v>5.6800000000000003E-2</v>
      </c>
      <c r="C397" s="2">
        <v>2.1499999999999998E-2</v>
      </c>
      <c r="D397" s="79">
        <v>37.700000000000003</v>
      </c>
    </row>
    <row r="398" spans="1:4">
      <c r="A398" s="8" t="s">
        <v>672</v>
      </c>
      <c r="B398" s="3"/>
      <c r="C398" s="4">
        <v>0</v>
      </c>
      <c r="D398" s="68"/>
    </row>
    <row r="399" spans="1:4">
      <c r="A399" s="8" t="s">
        <v>673</v>
      </c>
      <c r="B399" s="5"/>
      <c r="C399" s="2">
        <v>0</v>
      </c>
      <c r="D399" s="77"/>
    </row>
    <row r="400" spans="1:4">
      <c r="A400" s="8" t="s">
        <v>674</v>
      </c>
      <c r="B400" s="3"/>
      <c r="C400" s="4">
        <v>0</v>
      </c>
      <c r="D400" s="68"/>
    </row>
    <row r="401" spans="1:4">
      <c r="A401" s="8" t="s">
        <v>675</v>
      </c>
      <c r="B401" s="5"/>
      <c r="C401" s="2">
        <v>0</v>
      </c>
      <c r="D401" s="77"/>
    </row>
    <row r="402" spans="1:4">
      <c r="A402" s="8" t="s">
        <v>246</v>
      </c>
      <c r="B402" s="4">
        <v>2.3900000000000002E-3</v>
      </c>
      <c r="C402" s="3"/>
      <c r="D402" s="78">
        <v>0</v>
      </c>
    </row>
    <row r="403" spans="1:4">
      <c r="A403" s="8" t="s">
        <v>247</v>
      </c>
      <c r="B403" s="2">
        <v>6.7900000000000002E-2</v>
      </c>
      <c r="C403" s="2">
        <v>3.3799999999999997E-2</v>
      </c>
      <c r="D403" s="79">
        <v>49.7</v>
      </c>
    </row>
    <row r="404" spans="1:4">
      <c r="A404" s="8" t="s">
        <v>676</v>
      </c>
      <c r="B404" s="3"/>
      <c r="C404" s="4">
        <v>0</v>
      </c>
      <c r="D404" s="68"/>
    </row>
    <row r="405" spans="1:4">
      <c r="A405" s="8" t="s">
        <v>677</v>
      </c>
      <c r="B405" s="5"/>
      <c r="C405" s="2">
        <v>0</v>
      </c>
      <c r="D405" s="77"/>
    </row>
    <row r="406" spans="1:4">
      <c r="A406" s="8" t="s">
        <v>678</v>
      </c>
      <c r="B406" s="3"/>
      <c r="C406" s="4">
        <v>0</v>
      </c>
      <c r="D406" s="68"/>
    </row>
    <row r="407" spans="1:4">
      <c r="A407" s="8" t="s">
        <v>248</v>
      </c>
      <c r="B407" s="2">
        <v>2.0500000000000001E-2</v>
      </c>
      <c r="C407" s="5"/>
      <c r="D407" s="79">
        <v>0</v>
      </c>
    </row>
    <row r="408" spans="1:4">
      <c r="A408" s="8" t="s">
        <v>679</v>
      </c>
      <c r="B408" s="3"/>
      <c r="C408" s="4">
        <v>0</v>
      </c>
      <c r="D408" s="68"/>
    </row>
    <row r="409" spans="1:4">
      <c r="A409" s="8" t="s">
        <v>680</v>
      </c>
      <c r="B409" s="5"/>
      <c r="C409" s="2">
        <v>0</v>
      </c>
      <c r="D409" s="77"/>
    </row>
    <row r="410" spans="1:4">
      <c r="A410" s="8" t="s">
        <v>249</v>
      </c>
      <c r="B410" s="4">
        <v>4.1200000000000001E-2</v>
      </c>
      <c r="C410" s="4">
        <v>3.3599999999999998E-2</v>
      </c>
      <c r="D410" s="78">
        <v>81.7</v>
      </c>
    </row>
    <row r="411" spans="1:4">
      <c r="A411" s="8" t="s">
        <v>681</v>
      </c>
      <c r="B411" s="5"/>
      <c r="C411" s="2">
        <v>0</v>
      </c>
      <c r="D411" s="77"/>
    </row>
    <row r="412" spans="1:4">
      <c r="A412" s="8" t="s">
        <v>682</v>
      </c>
      <c r="B412" s="3"/>
      <c r="C412" s="4">
        <v>0</v>
      </c>
      <c r="D412" s="68"/>
    </row>
    <row r="413" spans="1:4">
      <c r="A413" s="8" t="s">
        <v>683</v>
      </c>
      <c r="B413" s="5"/>
      <c r="C413" s="2">
        <v>0</v>
      </c>
      <c r="D413" s="77"/>
    </row>
    <row r="414" spans="1:4">
      <c r="A414" s="8" t="s">
        <v>684</v>
      </c>
      <c r="B414" s="3"/>
      <c r="C414" s="4">
        <v>0</v>
      </c>
      <c r="D414" s="68"/>
    </row>
    <row r="415" spans="1:4">
      <c r="A415" s="8" t="s">
        <v>250</v>
      </c>
      <c r="B415" s="2">
        <v>3.4500000000000003E-2</v>
      </c>
      <c r="C415" s="2">
        <v>8.6099999999999996E-3</v>
      </c>
      <c r="D415" s="79">
        <v>25</v>
      </c>
    </row>
    <row r="416" spans="1:4">
      <c r="A416" s="8" t="s">
        <v>685</v>
      </c>
      <c r="B416" s="3"/>
      <c r="C416" s="4">
        <v>0</v>
      </c>
      <c r="D416" s="68"/>
    </row>
    <row r="417" spans="1:4">
      <c r="A417" s="8" t="s">
        <v>686</v>
      </c>
      <c r="B417" s="5"/>
      <c r="C417" s="2">
        <v>0</v>
      </c>
      <c r="D417" s="77"/>
    </row>
    <row r="418" spans="1:4">
      <c r="A418" s="8" t="s">
        <v>687</v>
      </c>
      <c r="B418" s="3"/>
      <c r="C418" s="4">
        <v>0</v>
      </c>
      <c r="D418" s="68"/>
    </row>
    <row r="419" spans="1:4">
      <c r="A419" s="8" t="s">
        <v>688</v>
      </c>
      <c r="B419" s="5"/>
      <c r="C419" s="2">
        <v>0</v>
      </c>
      <c r="D419" s="77"/>
    </row>
    <row r="420" spans="1:4">
      <c r="A420" s="8" t="s">
        <v>689</v>
      </c>
      <c r="B420" s="3"/>
      <c r="C420" s="4">
        <v>0</v>
      </c>
      <c r="D420" s="68"/>
    </row>
    <row r="421" spans="1:4">
      <c r="A421" s="8" t="s">
        <v>690</v>
      </c>
      <c r="B421" s="5"/>
      <c r="C421" s="2">
        <v>0</v>
      </c>
      <c r="D421" s="77"/>
    </row>
    <row r="422" spans="1:4">
      <c r="A422" s="8" t="s">
        <v>251</v>
      </c>
      <c r="B422" s="4">
        <v>8.4400000000000002E-4</v>
      </c>
      <c r="C422" s="3"/>
      <c r="D422" s="78">
        <v>0</v>
      </c>
    </row>
    <row r="423" spans="1:4">
      <c r="A423" s="8" t="s">
        <v>252</v>
      </c>
      <c r="B423" s="2">
        <v>3.3500000000000001E-3</v>
      </c>
      <c r="C423" s="5"/>
      <c r="D423" s="79">
        <v>0</v>
      </c>
    </row>
    <row r="424" spans="1:4">
      <c r="A424" s="8" t="s">
        <v>691</v>
      </c>
      <c r="B424" s="3"/>
      <c r="C424" s="4">
        <v>0</v>
      </c>
      <c r="D424" s="68"/>
    </row>
    <row r="425" spans="1:4">
      <c r="A425" s="8" t="s">
        <v>692</v>
      </c>
      <c r="B425" s="5"/>
      <c r="C425" s="2">
        <v>0</v>
      </c>
      <c r="D425" s="77"/>
    </row>
    <row r="426" spans="1:4">
      <c r="A426" s="8" t="s">
        <v>693</v>
      </c>
      <c r="B426" s="3"/>
      <c r="C426" s="4">
        <v>0</v>
      </c>
      <c r="D426" s="68"/>
    </row>
    <row r="427" spans="1:4">
      <c r="A427" s="8" t="s">
        <v>253</v>
      </c>
      <c r="B427" s="2">
        <v>6.2100000000000002E-3</v>
      </c>
      <c r="C427" s="5"/>
      <c r="D427" s="79">
        <v>0</v>
      </c>
    </row>
    <row r="428" spans="1:4">
      <c r="A428" s="8" t="s">
        <v>254</v>
      </c>
      <c r="B428" s="4">
        <v>4.9700000000000001E-2</v>
      </c>
      <c r="C428" s="4">
        <v>5.3099999999999996E-3</v>
      </c>
      <c r="D428" s="78">
        <v>10.7</v>
      </c>
    </row>
    <row r="429" spans="1:4">
      <c r="A429" s="8" t="s">
        <v>255</v>
      </c>
      <c r="B429" s="2">
        <v>8.1799999999999998E-2</v>
      </c>
      <c r="C429" s="2">
        <v>3.3500000000000002E-2</v>
      </c>
      <c r="D429" s="79">
        <v>41</v>
      </c>
    </row>
    <row r="430" spans="1:4">
      <c r="A430" s="8" t="s">
        <v>694</v>
      </c>
      <c r="B430" s="3"/>
      <c r="C430" s="4">
        <v>0</v>
      </c>
      <c r="D430" s="68"/>
    </row>
    <row r="431" spans="1:4">
      <c r="A431" s="8" t="s">
        <v>695</v>
      </c>
      <c r="B431" s="5"/>
      <c r="C431" s="2">
        <v>0</v>
      </c>
      <c r="D431" s="77"/>
    </row>
    <row r="432" spans="1:4">
      <c r="A432" s="8" t="s">
        <v>696</v>
      </c>
      <c r="B432" s="3"/>
      <c r="C432" s="4">
        <v>0</v>
      </c>
      <c r="D432" s="68"/>
    </row>
    <row r="433" spans="1:4">
      <c r="A433" s="8" t="s">
        <v>697</v>
      </c>
      <c r="B433" s="5"/>
      <c r="C433" s="2">
        <v>0</v>
      </c>
      <c r="D433" s="77"/>
    </row>
    <row r="434" spans="1:4">
      <c r="A434" s="8" t="s">
        <v>698</v>
      </c>
      <c r="B434" s="3"/>
      <c r="C434" s="4">
        <v>0</v>
      </c>
      <c r="D434" s="68"/>
    </row>
    <row r="435" spans="1:4">
      <c r="A435" s="8" t="s">
        <v>699</v>
      </c>
      <c r="B435" s="5"/>
      <c r="C435" s="2">
        <v>0</v>
      </c>
      <c r="D435" s="77"/>
    </row>
    <row r="436" spans="1:4">
      <c r="A436" s="8" t="s">
        <v>256</v>
      </c>
      <c r="B436" s="3"/>
      <c r="C436" s="4">
        <v>0</v>
      </c>
      <c r="D436" s="68"/>
    </row>
    <row r="437" spans="1:4">
      <c r="A437" s="8" t="s">
        <v>257</v>
      </c>
      <c r="B437" s="2">
        <v>1.48E-3</v>
      </c>
      <c r="C437" s="5"/>
      <c r="D437" s="79">
        <v>0</v>
      </c>
    </row>
    <row r="438" spans="1:4">
      <c r="A438" s="8" t="s">
        <v>258</v>
      </c>
      <c r="B438" s="3"/>
      <c r="C438" s="4">
        <v>0</v>
      </c>
      <c r="D438" s="68"/>
    </row>
    <row r="439" spans="1:4">
      <c r="A439" s="8" t="s">
        <v>259</v>
      </c>
      <c r="B439" s="2">
        <v>2.2399999999999998E-3</v>
      </c>
      <c r="C439" s="5"/>
      <c r="D439" s="79">
        <v>0</v>
      </c>
    </row>
    <row r="440" spans="1:4">
      <c r="A440" s="8" t="s">
        <v>260</v>
      </c>
      <c r="B440" s="3"/>
      <c r="C440" s="4">
        <v>0</v>
      </c>
      <c r="D440" s="68"/>
    </row>
    <row r="441" spans="1:4">
      <c r="A441" s="8" t="s">
        <v>261</v>
      </c>
      <c r="B441" s="2">
        <v>2.3600000000000001E-3</v>
      </c>
      <c r="C441" s="5"/>
      <c r="D441" s="79">
        <v>0</v>
      </c>
    </row>
    <row r="442" spans="1:4">
      <c r="A442" s="8" t="s">
        <v>700</v>
      </c>
      <c r="B442" s="3"/>
      <c r="C442" s="4">
        <v>0</v>
      </c>
      <c r="D442" s="68"/>
    </row>
    <row r="443" spans="1:4">
      <c r="A443" s="8" t="s">
        <v>701</v>
      </c>
      <c r="B443" s="5"/>
      <c r="C443" s="2">
        <v>0</v>
      </c>
      <c r="D443" s="77"/>
    </row>
    <row r="444" spans="1:4">
      <c r="A444" s="8" t="s">
        <v>262</v>
      </c>
      <c r="B444" s="4">
        <v>1.0699999999999999E-2</v>
      </c>
      <c r="C444" s="4">
        <v>1.9E-3</v>
      </c>
      <c r="D444" s="78">
        <v>17.7</v>
      </c>
    </row>
    <row r="445" spans="1:4">
      <c r="A445" s="8" t="s">
        <v>263</v>
      </c>
      <c r="B445" s="5"/>
      <c r="C445" s="2">
        <v>0</v>
      </c>
      <c r="D445" s="77"/>
    </row>
    <row r="446" spans="1:4">
      <c r="A446" s="8" t="s">
        <v>702</v>
      </c>
      <c r="B446" s="3"/>
      <c r="C446" s="4">
        <v>0</v>
      </c>
      <c r="D446" s="68"/>
    </row>
    <row r="447" spans="1:4">
      <c r="A447" s="8" t="s">
        <v>703</v>
      </c>
      <c r="B447" s="5"/>
      <c r="C447" s="2">
        <v>0</v>
      </c>
      <c r="D447" s="77"/>
    </row>
    <row r="448" spans="1:4">
      <c r="A448" s="8" t="s">
        <v>704</v>
      </c>
      <c r="B448" s="3"/>
      <c r="C448" s="4">
        <v>0</v>
      </c>
      <c r="D448" s="68"/>
    </row>
    <row r="449" spans="1:4">
      <c r="A449" s="8" t="s">
        <v>705</v>
      </c>
      <c r="B449" s="5"/>
      <c r="C449" s="2">
        <v>0</v>
      </c>
      <c r="D449" s="77"/>
    </row>
    <row r="450" spans="1:4">
      <c r="A450" s="8" t="s">
        <v>706</v>
      </c>
      <c r="B450" s="3"/>
      <c r="C450" s="4">
        <v>0</v>
      </c>
      <c r="D450" s="68"/>
    </row>
    <row r="451" spans="1:4">
      <c r="A451" s="8" t="s">
        <v>707</v>
      </c>
      <c r="B451" s="5"/>
      <c r="C451" s="2">
        <v>0</v>
      </c>
      <c r="D451" s="77"/>
    </row>
    <row r="452" spans="1:4">
      <c r="A452" s="8" t="s">
        <v>708</v>
      </c>
      <c r="B452" s="3"/>
      <c r="C452" s="4">
        <v>0</v>
      </c>
      <c r="D452" s="68"/>
    </row>
    <row r="453" spans="1:4">
      <c r="A453" s="8" t="s">
        <v>709</v>
      </c>
      <c r="B453" s="5"/>
      <c r="C453" s="2">
        <v>0</v>
      </c>
      <c r="D453" s="77"/>
    </row>
    <row r="454" spans="1:4">
      <c r="A454" s="8" t="s">
        <v>710</v>
      </c>
      <c r="B454" s="3"/>
      <c r="C454" s="4">
        <v>0</v>
      </c>
      <c r="D454" s="68"/>
    </row>
    <row r="455" spans="1:4">
      <c r="A455" s="8" t="s">
        <v>711</v>
      </c>
      <c r="B455" s="5"/>
      <c r="C455" s="2">
        <v>0</v>
      </c>
      <c r="D455" s="77"/>
    </row>
    <row r="456" spans="1:4">
      <c r="A456" s="8" t="s">
        <v>264</v>
      </c>
      <c r="B456" s="3"/>
      <c r="C456" s="4">
        <v>0</v>
      </c>
      <c r="D456" s="68"/>
    </row>
    <row r="457" spans="1:4">
      <c r="A457" s="8" t="s">
        <v>712</v>
      </c>
      <c r="B457" s="5"/>
      <c r="C457" s="2">
        <v>0</v>
      </c>
      <c r="D457" s="77"/>
    </row>
    <row r="458" spans="1:4">
      <c r="A458" s="8" t="s">
        <v>713</v>
      </c>
      <c r="B458" s="3"/>
      <c r="C458" s="4">
        <v>0</v>
      </c>
      <c r="D458" s="68"/>
    </row>
    <row r="459" spans="1:4">
      <c r="A459" s="8" t="s">
        <v>714</v>
      </c>
      <c r="B459" s="5"/>
      <c r="C459" s="2">
        <v>0</v>
      </c>
      <c r="D459" s="77"/>
    </row>
    <row r="460" spans="1:4">
      <c r="A460" s="8" t="s">
        <v>265</v>
      </c>
      <c r="B460" s="3"/>
      <c r="C460" s="4">
        <v>0</v>
      </c>
      <c r="D460" s="68"/>
    </row>
    <row r="461" spans="1:4">
      <c r="A461" s="8" t="s">
        <v>715</v>
      </c>
      <c r="B461" s="5"/>
      <c r="C461" s="2">
        <v>0</v>
      </c>
      <c r="D461" s="77"/>
    </row>
    <row r="462" spans="1:4">
      <c r="A462" s="8" t="s">
        <v>716</v>
      </c>
      <c r="B462" s="3"/>
      <c r="C462" s="4">
        <v>0</v>
      </c>
      <c r="D462" s="68"/>
    </row>
    <row r="463" spans="1:4">
      <c r="A463" s="8" t="s">
        <v>717</v>
      </c>
      <c r="B463" s="5"/>
      <c r="C463" s="2">
        <v>0</v>
      </c>
      <c r="D463" s="77"/>
    </row>
    <row r="464" spans="1:4">
      <c r="A464" s="8" t="s">
        <v>266</v>
      </c>
      <c r="B464" s="4">
        <v>2.3999999999999998E-3</v>
      </c>
      <c r="C464" s="4">
        <v>7.8899999999999999E-4</v>
      </c>
      <c r="D464" s="78">
        <v>32.9</v>
      </c>
    </row>
    <row r="465" spans="1:4">
      <c r="A465" s="8" t="s">
        <v>718</v>
      </c>
      <c r="B465" s="5"/>
      <c r="C465" s="2">
        <v>0</v>
      </c>
      <c r="D465" s="77"/>
    </row>
    <row r="466" spans="1:4">
      <c r="A466" s="8" t="s">
        <v>719</v>
      </c>
      <c r="B466" s="3"/>
      <c r="C466" s="4">
        <v>0</v>
      </c>
      <c r="D466" s="68"/>
    </row>
    <row r="467" spans="1:4">
      <c r="A467" s="8" t="s">
        <v>720</v>
      </c>
      <c r="B467" s="5"/>
      <c r="C467" s="2">
        <v>0</v>
      </c>
      <c r="D467" s="77"/>
    </row>
    <row r="468" spans="1:4">
      <c r="A468" s="8" t="s">
        <v>721</v>
      </c>
      <c r="B468" s="3"/>
      <c r="C468" s="4">
        <v>0</v>
      </c>
      <c r="D468" s="68"/>
    </row>
    <row r="469" spans="1:4">
      <c r="A469" s="8" t="s">
        <v>722</v>
      </c>
      <c r="B469" s="5"/>
      <c r="C469" s="2">
        <v>0</v>
      </c>
      <c r="D469" s="77"/>
    </row>
    <row r="470" spans="1:4">
      <c r="A470" s="8" t="s">
        <v>723</v>
      </c>
      <c r="B470" s="3"/>
      <c r="C470" s="4">
        <v>0</v>
      </c>
      <c r="D470" s="68"/>
    </row>
    <row r="471" spans="1:4">
      <c r="A471" s="8" t="s">
        <v>267</v>
      </c>
      <c r="B471" s="2">
        <v>0.47099999999999997</v>
      </c>
      <c r="C471" s="2">
        <v>0.39</v>
      </c>
      <c r="D471" s="79">
        <v>82.8</v>
      </c>
    </row>
    <row r="472" spans="1:4">
      <c r="A472" s="8" t="s">
        <v>724</v>
      </c>
      <c r="B472" s="3"/>
      <c r="C472" s="4">
        <v>0</v>
      </c>
      <c r="D472" s="68"/>
    </row>
    <row r="473" spans="1:4">
      <c r="A473" s="8" t="s">
        <v>725</v>
      </c>
      <c r="B473" s="5"/>
      <c r="C473" s="2">
        <v>0</v>
      </c>
      <c r="D473" s="77"/>
    </row>
    <row r="474" spans="1:4">
      <c r="A474" s="8" t="s">
        <v>268</v>
      </c>
      <c r="B474" s="4">
        <v>6.2399999999999999E-3</v>
      </c>
      <c r="C474" s="4">
        <v>2.99E-3</v>
      </c>
      <c r="D474" s="78">
        <v>47.9</v>
      </c>
    </row>
    <row r="475" spans="1:4">
      <c r="A475" s="8" t="s">
        <v>726</v>
      </c>
      <c r="B475" s="5"/>
      <c r="C475" s="2">
        <v>0</v>
      </c>
      <c r="D475" s="77"/>
    </row>
    <row r="476" spans="1:4">
      <c r="A476" s="8" t="s">
        <v>727</v>
      </c>
      <c r="B476" s="3"/>
      <c r="C476" s="4">
        <v>0</v>
      </c>
      <c r="D476" s="68"/>
    </row>
    <row r="477" spans="1:4">
      <c r="A477" s="8" t="s">
        <v>728</v>
      </c>
      <c r="B477" s="5"/>
      <c r="C477" s="2">
        <v>0</v>
      </c>
      <c r="D477" s="77"/>
    </row>
    <row r="478" spans="1:4">
      <c r="A478" s="8" t="s">
        <v>269</v>
      </c>
      <c r="B478" s="4">
        <v>3.9800000000000002E-2</v>
      </c>
      <c r="C478" s="4">
        <v>7.0200000000000002E-3</v>
      </c>
      <c r="D478" s="78">
        <v>17.600000000000001</v>
      </c>
    </row>
    <row r="479" spans="1:4">
      <c r="A479" s="8" t="s">
        <v>729</v>
      </c>
      <c r="B479" s="5"/>
      <c r="C479" s="2">
        <v>0</v>
      </c>
      <c r="D479" s="77"/>
    </row>
    <row r="480" spans="1:4">
      <c r="A480" s="8" t="s">
        <v>730</v>
      </c>
      <c r="B480" s="3"/>
      <c r="C480" s="4">
        <v>0</v>
      </c>
      <c r="D480" s="68"/>
    </row>
    <row r="481" spans="1:4">
      <c r="A481" s="8" t="s">
        <v>270</v>
      </c>
      <c r="B481" s="2">
        <v>3.8500000000000001E-3</v>
      </c>
      <c r="C481" s="5"/>
      <c r="D481" s="79">
        <v>0</v>
      </c>
    </row>
    <row r="482" spans="1:4">
      <c r="A482" s="8" t="s">
        <v>731</v>
      </c>
      <c r="B482" s="3"/>
      <c r="C482" s="4">
        <v>0</v>
      </c>
      <c r="D482" s="68"/>
    </row>
    <row r="483" spans="1:4">
      <c r="A483" s="8" t="s">
        <v>732</v>
      </c>
      <c r="B483" s="5"/>
      <c r="C483" s="2">
        <v>0</v>
      </c>
      <c r="D483" s="77"/>
    </row>
    <row r="484" spans="1:4">
      <c r="A484" s="8" t="s">
        <v>733</v>
      </c>
      <c r="B484" s="3"/>
      <c r="C484" s="4">
        <v>0</v>
      </c>
      <c r="D484" s="68"/>
    </row>
    <row r="485" spans="1:4">
      <c r="A485" s="8" t="s">
        <v>734</v>
      </c>
      <c r="B485" s="5"/>
      <c r="C485" s="2">
        <v>0</v>
      </c>
      <c r="D485" s="77"/>
    </row>
    <row r="486" spans="1:4">
      <c r="A486" s="8" t="s">
        <v>735</v>
      </c>
      <c r="B486" s="3"/>
      <c r="C486" s="4">
        <v>0</v>
      </c>
      <c r="D486" s="68"/>
    </row>
    <row r="487" spans="1:4">
      <c r="A487" s="8" t="s">
        <v>736</v>
      </c>
      <c r="B487" s="5"/>
      <c r="C487" s="2">
        <v>0</v>
      </c>
      <c r="D487" s="77"/>
    </row>
    <row r="488" spans="1:4">
      <c r="A488" s="8" t="s">
        <v>737</v>
      </c>
      <c r="B488" s="3"/>
      <c r="C488" s="4">
        <v>0</v>
      </c>
      <c r="D488" s="68"/>
    </row>
    <row r="489" spans="1:4">
      <c r="A489" s="8" t="s">
        <v>271</v>
      </c>
      <c r="B489" s="2">
        <v>1.8699999999999999E-3</v>
      </c>
      <c r="C489" s="5"/>
      <c r="D489" s="79">
        <v>0</v>
      </c>
    </row>
    <row r="490" spans="1:4">
      <c r="A490" s="8" t="s">
        <v>738</v>
      </c>
      <c r="B490" s="3"/>
      <c r="C490" s="4">
        <v>0</v>
      </c>
      <c r="D490" s="68"/>
    </row>
    <row r="491" spans="1:4">
      <c r="A491" s="8" t="s">
        <v>739</v>
      </c>
      <c r="B491" s="5"/>
      <c r="C491" s="2">
        <v>0</v>
      </c>
      <c r="D491" s="77"/>
    </row>
    <row r="492" spans="1:4">
      <c r="A492" s="8" t="s">
        <v>272</v>
      </c>
      <c r="B492" s="4">
        <v>8.3699999999999997E-2</v>
      </c>
      <c r="C492" s="4">
        <v>3.2800000000000003E-2</v>
      </c>
      <c r="D492" s="78">
        <v>39.299999999999997</v>
      </c>
    </row>
    <row r="493" spans="1:4">
      <c r="A493" s="8" t="s">
        <v>740</v>
      </c>
      <c r="B493" s="5"/>
      <c r="C493" s="2">
        <v>0</v>
      </c>
      <c r="D493" s="77"/>
    </row>
    <row r="494" spans="1:4">
      <c r="A494" s="8" t="s">
        <v>273</v>
      </c>
      <c r="B494" s="4">
        <v>3.4200000000000001E-2</v>
      </c>
      <c r="C494" s="4">
        <v>1.21E-2</v>
      </c>
      <c r="D494" s="78">
        <v>35.5</v>
      </c>
    </row>
    <row r="495" spans="1:4">
      <c r="A495" s="8" t="s">
        <v>274</v>
      </c>
      <c r="B495" s="2">
        <v>6.3400000000000001E-3</v>
      </c>
      <c r="C495" s="5"/>
      <c r="D495" s="79">
        <v>0</v>
      </c>
    </row>
    <row r="496" spans="1:4">
      <c r="A496" s="8" t="s">
        <v>275</v>
      </c>
      <c r="B496" s="4">
        <v>1.5499999999999999E-3</v>
      </c>
      <c r="C496" s="3"/>
      <c r="D496" s="78">
        <v>0</v>
      </c>
    </row>
    <row r="497" spans="1:4">
      <c r="A497" s="8" t="s">
        <v>276</v>
      </c>
      <c r="B497" s="2">
        <v>2.93E-2</v>
      </c>
      <c r="C497" s="2">
        <v>1.23E-2</v>
      </c>
      <c r="D497" s="79">
        <v>42</v>
      </c>
    </row>
    <row r="498" spans="1:4">
      <c r="A498" s="8" t="s">
        <v>741</v>
      </c>
      <c r="B498" s="3"/>
      <c r="C498" s="4">
        <v>0</v>
      </c>
      <c r="D498" s="68"/>
    </row>
    <row r="499" spans="1:4">
      <c r="A499" s="8" t="s">
        <v>277</v>
      </c>
      <c r="B499" s="2">
        <v>4.0299999999999997E-3</v>
      </c>
      <c r="C499" s="2">
        <v>3.79E-3</v>
      </c>
      <c r="D499" s="79">
        <v>93.9</v>
      </c>
    </row>
    <row r="500" spans="1:4">
      <c r="A500" s="8" t="s">
        <v>278</v>
      </c>
      <c r="B500" s="4">
        <v>1.82E-3</v>
      </c>
      <c r="C500" s="3"/>
      <c r="D500" s="78">
        <v>0</v>
      </c>
    </row>
    <row r="501" spans="1:4">
      <c r="A501" s="8" t="s">
        <v>742</v>
      </c>
      <c r="B501" s="5"/>
      <c r="C501" s="2">
        <v>0</v>
      </c>
      <c r="D501" s="77"/>
    </row>
    <row r="502" spans="1:4">
      <c r="A502" s="8" t="s">
        <v>279</v>
      </c>
      <c r="B502" s="4">
        <v>1.39E-3</v>
      </c>
      <c r="C502" s="3"/>
      <c r="D502" s="78">
        <v>0</v>
      </c>
    </row>
    <row r="503" spans="1:4">
      <c r="A503" s="8" t="s">
        <v>743</v>
      </c>
      <c r="B503" s="5"/>
      <c r="C503" s="2">
        <v>0</v>
      </c>
      <c r="D503" s="77"/>
    </row>
    <row r="504" spans="1:4">
      <c r="A504" s="8" t="s">
        <v>280</v>
      </c>
      <c r="B504" s="4">
        <v>7.91</v>
      </c>
      <c r="C504" s="4">
        <v>5.1100000000000003</v>
      </c>
      <c r="D504" s="78">
        <v>64.599999999999994</v>
      </c>
    </row>
    <row r="505" spans="1:4">
      <c r="A505" s="8" t="s">
        <v>744</v>
      </c>
      <c r="B505" s="5"/>
      <c r="C505" s="2">
        <v>0</v>
      </c>
      <c r="D505" s="77"/>
    </row>
    <row r="506" spans="1:4">
      <c r="A506" s="8" t="s">
        <v>745</v>
      </c>
      <c r="B506" s="3"/>
      <c r="C506" s="4">
        <v>0</v>
      </c>
      <c r="D506" s="68"/>
    </row>
    <row r="507" spans="1:4">
      <c r="A507" s="8" t="s">
        <v>281</v>
      </c>
      <c r="B507" s="2">
        <v>9.64E-2</v>
      </c>
      <c r="C507" s="5"/>
      <c r="D507" s="79">
        <v>0</v>
      </c>
    </row>
    <row r="508" spans="1:4">
      <c r="A508" s="8" t="s">
        <v>746</v>
      </c>
      <c r="B508" s="3"/>
      <c r="C508" s="4">
        <v>0</v>
      </c>
      <c r="D508" s="68"/>
    </row>
    <row r="509" spans="1:4">
      <c r="A509" s="8" t="s">
        <v>747</v>
      </c>
      <c r="B509" s="5"/>
      <c r="C509" s="2">
        <v>0</v>
      </c>
      <c r="D509" s="77"/>
    </row>
    <row r="510" spans="1:4">
      <c r="A510" s="8" t="s">
        <v>282</v>
      </c>
      <c r="B510" s="4">
        <v>1.67E-2</v>
      </c>
      <c r="C510" s="4">
        <v>9.0600000000000003E-3</v>
      </c>
      <c r="D510" s="78">
        <v>54.1</v>
      </c>
    </row>
    <row r="511" spans="1:4">
      <c r="A511" s="8" t="s">
        <v>748</v>
      </c>
      <c r="B511" s="5"/>
      <c r="C511" s="2">
        <v>0</v>
      </c>
      <c r="D511" s="77"/>
    </row>
    <row r="512" spans="1:4">
      <c r="A512" s="8" t="s">
        <v>283</v>
      </c>
      <c r="B512" s="4">
        <v>0.13</v>
      </c>
      <c r="C512" s="4">
        <v>6.9599999999999995E-2</v>
      </c>
      <c r="D512" s="78">
        <v>53.4</v>
      </c>
    </row>
    <row r="513" spans="1:4">
      <c r="A513" s="8" t="s">
        <v>284</v>
      </c>
      <c r="B513" s="2">
        <v>1.56E-3</v>
      </c>
      <c r="C513" s="5"/>
      <c r="D513" s="79">
        <v>0</v>
      </c>
    </row>
    <row r="514" spans="1:4">
      <c r="A514" s="8" t="s">
        <v>749</v>
      </c>
      <c r="B514" s="3"/>
      <c r="C514" s="4">
        <v>0</v>
      </c>
      <c r="D514" s="68"/>
    </row>
    <row r="515" spans="1:4">
      <c r="A515" s="8" t="s">
        <v>750</v>
      </c>
      <c r="B515" s="5"/>
      <c r="C515" s="2">
        <v>0</v>
      </c>
      <c r="D515" s="77"/>
    </row>
    <row r="516" spans="1:4">
      <c r="A516" s="8" t="s">
        <v>751</v>
      </c>
      <c r="B516" s="3"/>
      <c r="C516" s="4">
        <v>0</v>
      </c>
      <c r="D516" s="68"/>
    </row>
    <row r="517" spans="1:4">
      <c r="A517" s="8" t="s">
        <v>752</v>
      </c>
      <c r="B517" s="5"/>
      <c r="C517" s="2">
        <v>0</v>
      </c>
      <c r="D517" s="77"/>
    </row>
    <row r="518" spans="1:4">
      <c r="A518" s="8" t="s">
        <v>285</v>
      </c>
      <c r="B518" s="4">
        <v>1.32</v>
      </c>
      <c r="C518" s="4">
        <v>1.68</v>
      </c>
      <c r="D518" s="78">
        <v>128</v>
      </c>
    </row>
    <row r="519" spans="1:4">
      <c r="A519" s="8" t="s">
        <v>753</v>
      </c>
      <c r="B519" s="5"/>
      <c r="C519" s="2">
        <v>0</v>
      </c>
      <c r="D519" s="77"/>
    </row>
    <row r="520" spans="1:4">
      <c r="A520" s="9" t="s">
        <v>140</v>
      </c>
      <c r="B520" s="3"/>
      <c r="C520" s="4">
        <v>0</v>
      </c>
      <c r="D520" s="68"/>
    </row>
    <row r="521" spans="1:4">
      <c r="A521" s="9" t="s">
        <v>754</v>
      </c>
      <c r="B521" s="5"/>
      <c r="C521" s="2">
        <v>0</v>
      </c>
      <c r="D521" s="77"/>
    </row>
    <row r="522" spans="1:4">
      <c r="A522" s="9" t="s">
        <v>286</v>
      </c>
      <c r="B522" s="4">
        <v>0.11799999999999999</v>
      </c>
      <c r="C522" s="4">
        <v>4.5400000000000003E-2</v>
      </c>
      <c r="D522" s="78">
        <v>38.5</v>
      </c>
    </row>
    <row r="523" spans="1:4">
      <c r="A523" s="9" t="s">
        <v>755</v>
      </c>
      <c r="B523" s="5"/>
      <c r="C523" s="2">
        <v>0</v>
      </c>
      <c r="D523" s="77"/>
    </row>
    <row r="524" spans="1:4">
      <c r="A524" s="9" t="s">
        <v>287</v>
      </c>
      <c r="B524" s="4">
        <v>0.438</v>
      </c>
      <c r="C524" s="4">
        <v>0.27800000000000002</v>
      </c>
      <c r="D524" s="78">
        <v>63.3</v>
      </c>
    </row>
    <row r="525" spans="1:4">
      <c r="A525" s="9" t="s">
        <v>756</v>
      </c>
      <c r="B525" s="5"/>
      <c r="C525" s="2">
        <v>0</v>
      </c>
      <c r="D525" s="77"/>
    </row>
    <row r="526" spans="1:4">
      <c r="A526" s="9" t="s">
        <v>757</v>
      </c>
      <c r="B526" s="3"/>
      <c r="C526" s="4">
        <v>0</v>
      </c>
      <c r="D526" s="68"/>
    </row>
    <row r="527" spans="1:4">
      <c r="A527" s="9" t="s">
        <v>288</v>
      </c>
      <c r="B527" s="2">
        <v>6.9499999999999996E-3</v>
      </c>
      <c r="C527" s="5"/>
      <c r="D527" s="79">
        <v>0</v>
      </c>
    </row>
    <row r="528" spans="1:4">
      <c r="A528" s="9" t="s">
        <v>289</v>
      </c>
      <c r="B528" s="4">
        <v>9.9500000000000005E-2</v>
      </c>
      <c r="C528" s="4">
        <v>0.122</v>
      </c>
      <c r="D528" s="78">
        <v>122</v>
      </c>
    </row>
    <row r="529" spans="1:4">
      <c r="A529" s="9" t="s">
        <v>290</v>
      </c>
      <c r="B529" s="2">
        <v>0.14899999999999999</v>
      </c>
      <c r="C529" s="2">
        <v>3.3700000000000001E-2</v>
      </c>
      <c r="D529" s="79">
        <v>22.7</v>
      </c>
    </row>
    <row r="530" spans="1:4">
      <c r="A530" s="9" t="s">
        <v>291</v>
      </c>
      <c r="B530" s="4">
        <v>6.4899999999999999E-2</v>
      </c>
      <c r="C530" s="3"/>
      <c r="D530" s="78">
        <v>0</v>
      </c>
    </row>
    <row r="531" spans="1:4">
      <c r="A531" s="9" t="s">
        <v>292</v>
      </c>
      <c r="B531" s="2">
        <v>0.187</v>
      </c>
      <c r="C531" s="2">
        <v>0.152</v>
      </c>
      <c r="D531" s="79">
        <v>81.5</v>
      </c>
    </row>
    <row r="532" spans="1:4">
      <c r="A532" s="9" t="s">
        <v>293</v>
      </c>
      <c r="B532" s="4">
        <v>5.94E-3</v>
      </c>
      <c r="C532" s="4">
        <v>2.4599999999999999E-3</v>
      </c>
      <c r="D532" s="78">
        <v>41.5</v>
      </c>
    </row>
    <row r="533" spans="1:4">
      <c r="A533" s="9" t="s">
        <v>294</v>
      </c>
      <c r="B533" s="2">
        <v>8.1499999999999993E-3</v>
      </c>
      <c r="C533" s="2">
        <v>6.2599999999999999E-3</v>
      </c>
      <c r="D533" s="79">
        <v>76.8</v>
      </c>
    </row>
    <row r="534" spans="1:4">
      <c r="A534" s="9" t="s">
        <v>295</v>
      </c>
      <c r="B534" s="4">
        <v>2.1999999999999999E-2</v>
      </c>
      <c r="C534" s="4">
        <v>7.0899999999999999E-3</v>
      </c>
      <c r="D534" s="78">
        <v>32.200000000000003</v>
      </c>
    </row>
    <row r="535" spans="1:4">
      <c r="A535" s="9" t="s">
        <v>296</v>
      </c>
      <c r="B535" s="2">
        <v>0.57099999999999995</v>
      </c>
      <c r="C535" s="2">
        <v>0.189</v>
      </c>
      <c r="D535" s="79">
        <v>33.1</v>
      </c>
    </row>
    <row r="536" spans="1:4">
      <c r="A536" s="9" t="s">
        <v>297</v>
      </c>
      <c r="B536" s="4">
        <v>9.8900000000000002E-2</v>
      </c>
      <c r="C536" s="4">
        <v>3.3399999999999999E-2</v>
      </c>
      <c r="D536" s="78">
        <v>33.799999999999997</v>
      </c>
    </row>
    <row r="537" spans="1:4">
      <c r="A537" s="9" t="s">
        <v>298</v>
      </c>
      <c r="B537" s="2">
        <v>6.1899999999999997E-2</v>
      </c>
      <c r="C537" s="2">
        <v>1.8599999999999998E-2</v>
      </c>
      <c r="D537" s="79">
        <v>30</v>
      </c>
    </row>
    <row r="538" spans="1:4">
      <c r="A538" s="9" t="s">
        <v>758</v>
      </c>
      <c r="B538" s="3"/>
      <c r="C538" s="4">
        <v>0</v>
      </c>
      <c r="D538" s="68"/>
    </row>
    <row r="539" spans="1:4">
      <c r="A539" s="9" t="s">
        <v>299</v>
      </c>
      <c r="B539" s="2">
        <v>0.26700000000000002</v>
      </c>
      <c r="C539" s="5"/>
      <c r="D539" s="79">
        <v>0</v>
      </c>
    </row>
    <row r="540" spans="1:4">
      <c r="A540" s="9" t="s">
        <v>300</v>
      </c>
      <c r="B540" s="4">
        <v>0.26500000000000001</v>
      </c>
      <c r="C540" s="4">
        <v>0.38300000000000001</v>
      </c>
      <c r="D540" s="78">
        <v>145</v>
      </c>
    </row>
    <row r="541" spans="1:4">
      <c r="A541" s="9" t="s">
        <v>301</v>
      </c>
      <c r="B541" s="2">
        <v>2.9000000000000001E-2</v>
      </c>
      <c r="C541" s="2">
        <v>9.7300000000000008E-3</v>
      </c>
      <c r="D541" s="79">
        <v>33.6</v>
      </c>
    </row>
    <row r="542" spans="1:4">
      <c r="A542" s="9" t="s">
        <v>302</v>
      </c>
      <c r="B542" s="4">
        <v>0.58499999999999996</v>
      </c>
      <c r="C542" s="4">
        <v>0.65200000000000002</v>
      </c>
      <c r="D542" s="78">
        <v>112</v>
      </c>
    </row>
    <row r="543" spans="1:4">
      <c r="A543" s="9" t="s">
        <v>303</v>
      </c>
      <c r="B543" s="2">
        <v>0.187</v>
      </c>
      <c r="C543" s="2">
        <v>0.105</v>
      </c>
      <c r="D543" s="79">
        <v>56.3</v>
      </c>
    </row>
    <row r="544" spans="1:4">
      <c r="A544" s="9" t="s">
        <v>304</v>
      </c>
      <c r="B544" s="4">
        <v>0.95299999999999996</v>
      </c>
      <c r="C544" s="4">
        <v>0.88</v>
      </c>
      <c r="D544" s="78">
        <v>92.3</v>
      </c>
    </row>
    <row r="545" spans="1:4">
      <c r="A545" s="9" t="s">
        <v>305</v>
      </c>
      <c r="B545" s="2">
        <v>0.193</v>
      </c>
      <c r="C545" s="2">
        <v>9.2799999999999994E-2</v>
      </c>
      <c r="D545" s="79">
        <v>48.1</v>
      </c>
    </row>
    <row r="546" spans="1:4">
      <c r="A546" s="9" t="s">
        <v>306</v>
      </c>
      <c r="B546" s="3"/>
      <c r="C546" s="4">
        <v>0</v>
      </c>
      <c r="D546" s="68"/>
    </row>
    <row r="547" spans="1:4">
      <c r="A547" s="9" t="s">
        <v>307</v>
      </c>
      <c r="B547" s="2">
        <v>3.5200000000000002E-2</v>
      </c>
      <c r="C547" s="2">
        <v>2.0500000000000001E-2</v>
      </c>
      <c r="D547" s="79">
        <v>58.2</v>
      </c>
    </row>
    <row r="548" spans="1:4">
      <c r="A548" s="9" t="s">
        <v>308</v>
      </c>
      <c r="B548" s="4">
        <v>1.32E-2</v>
      </c>
      <c r="C548" s="4">
        <v>1.03E-2</v>
      </c>
      <c r="D548" s="78">
        <v>78.599999999999994</v>
      </c>
    </row>
    <row r="549" spans="1:4">
      <c r="A549" s="9" t="s">
        <v>309</v>
      </c>
      <c r="B549" s="2">
        <v>7.28E-3</v>
      </c>
      <c r="C549" s="2">
        <v>3.2399999999999998E-3</v>
      </c>
      <c r="D549" s="79">
        <v>44.5</v>
      </c>
    </row>
    <row r="550" spans="1:4">
      <c r="A550" s="9" t="s">
        <v>310</v>
      </c>
      <c r="B550" s="4">
        <v>9.5200000000000007E-3</v>
      </c>
      <c r="C550" s="4">
        <v>7.3000000000000001E-3</v>
      </c>
      <c r="D550" s="78">
        <v>76.599999999999994</v>
      </c>
    </row>
    <row r="551" spans="1:4">
      <c r="A551" s="9" t="s">
        <v>311</v>
      </c>
      <c r="B551" s="2">
        <v>0.56200000000000006</v>
      </c>
      <c r="C551" s="2">
        <v>0.255</v>
      </c>
      <c r="D551" s="79">
        <v>45.4</v>
      </c>
    </row>
    <row r="552" spans="1:4">
      <c r="A552" s="9" t="s">
        <v>312</v>
      </c>
      <c r="B552" s="4">
        <v>0.159</v>
      </c>
      <c r="C552" s="4">
        <v>8.2500000000000004E-2</v>
      </c>
      <c r="D552" s="78">
        <v>52</v>
      </c>
    </row>
    <row r="553" spans="1:4">
      <c r="A553" s="9" t="s">
        <v>313</v>
      </c>
      <c r="B553" s="2">
        <v>7.8200000000000006E-2</v>
      </c>
      <c r="C553" s="2">
        <v>3.4299999999999997E-2</v>
      </c>
      <c r="D553" s="79">
        <v>43.8</v>
      </c>
    </row>
    <row r="554" spans="1:4">
      <c r="A554" s="9" t="s">
        <v>314</v>
      </c>
      <c r="B554" s="4">
        <v>9.3600000000000003E-3</v>
      </c>
      <c r="C554" s="4">
        <v>7.7799999999999996E-3</v>
      </c>
      <c r="D554" s="78">
        <v>83.2</v>
      </c>
    </row>
    <row r="555" spans="1:4">
      <c r="A555" s="9" t="s">
        <v>315</v>
      </c>
      <c r="B555" s="2">
        <v>0.22900000000000001</v>
      </c>
      <c r="C555" s="2">
        <v>0.115</v>
      </c>
      <c r="D555" s="79">
        <v>50.1</v>
      </c>
    </row>
    <row r="556" spans="1:4">
      <c r="A556" s="9" t="s">
        <v>316</v>
      </c>
      <c r="B556" s="4">
        <v>1.9900000000000001E-2</v>
      </c>
      <c r="C556" s="4">
        <v>1.14E-2</v>
      </c>
      <c r="D556" s="78">
        <v>57.2</v>
      </c>
    </row>
    <row r="557" spans="1:4">
      <c r="A557" s="9" t="s">
        <v>317</v>
      </c>
      <c r="B557" s="2">
        <v>2.5399999999999999E-2</v>
      </c>
      <c r="C557" s="2">
        <v>1.23E-2</v>
      </c>
      <c r="D557" s="79">
        <v>48.6</v>
      </c>
    </row>
    <row r="558" spans="1:4">
      <c r="A558" s="9" t="s">
        <v>318</v>
      </c>
      <c r="B558" s="3"/>
      <c r="C558" s="4">
        <v>0</v>
      </c>
      <c r="D558" s="68"/>
    </row>
    <row r="559" spans="1:4">
      <c r="A559" s="9" t="s">
        <v>319</v>
      </c>
      <c r="B559" s="2">
        <v>0.107</v>
      </c>
      <c r="C559" s="2">
        <v>5.0599999999999999E-2</v>
      </c>
      <c r="D559" s="79">
        <v>47.3</v>
      </c>
    </row>
    <row r="560" spans="1:4">
      <c r="A560" s="9" t="s">
        <v>320</v>
      </c>
      <c r="B560" s="4">
        <v>0.25900000000000001</v>
      </c>
      <c r="C560" s="4">
        <v>0.11700000000000001</v>
      </c>
      <c r="D560" s="78">
        <v>45.2</v>
      </c>
    </row>
    <row r="561" spans="1:4">
      <c r="A561" s="9" t="s">
        <v>321</v>
      </c>
      <c r="B561" s="2">
        <v>0.63600000000000001</v>
      </c>
      <c r="C561" s="2">
        <v>0.3</v>
      </c>
      <c r="D561" s="79">
        <v>47.2</v>
      </c>
    </row>
    <row r="562" spans="1:4">
      <c r="A562" s="9" t="s">
        <v>322</v>
      </c>
      <c r="B562" s="4">
        <v>4.0300000000000002E-2</v>
      </c>
      <c r="C562" s="4">
        <v>2.8400000000000002E-2</v>
      </c>
      <c r="D562" s="78">
        <v>70.5</v>
      </c>
    </row>
    <row r="563" spans="1:4">
      <c r="A563" s="9" t="s">
        <v>323</v>
      </c>
      <c r="B563" s="2">
        <v>1.23</v>
      </c>
      <c r="C563" s="2">
        <v>0.60899999999999999</v>
      </c>
      <c r="D563" s="79">
        <v>49.4</v>
      </c>
    </row>
    <row r="564" spans="1:4">
      <c r="A564" s="9" t="s">
        <v>324</v>
      </c>
      <c r="B564" s="4">
        <v>0.19800000000000001</v>
      </c>
      <c r="C564" s="4">
        <v>9.74E-2</v>
      </c>
      <c r="D564" s="78">
        <v>49.2</v>
      </c>
    </row>
    <row r="565" spans="1:4">
      <c r="A565" s="9" t="s">
        <v>325</v>
      </c>
      <c r="B565" s="2">
        <v>0.627</v>
      </c>
      <c r="C565" s="2">
        <v>0.307</v>
      </c>
      <c r="D565" s="79">
        <v>48.9</v>
      </c>
    </row>
    <row r="566" spans="1:4">
      <c r="A566" s="9" t="s">
        <v>326</v>
      </c>
      <c r="B566" s="4">
        <v>1.52E-2</v>
      </c>
      <c r="C566" s="4">
        <v>1.0500000000000001E-2</v>
      </c>
      <c r="D566" s="78">
        <v>69</v>
      </c>
    </row>
    <row r="567" spans="1:4">
      <c r="A567" s="9" t="s">
        <v>327</v>
      </c>
      <c r="B567" s="2">
        <v>0.94199999999999995</v>
      </c>
      <c r="C567" s="2">
        <v>0.83</v>
      </c>
      <c r="D567" s="79">
        <v>88</v>
      </c>
    </row>
    <row r="568" spans="1:4">
      <c r="A568" s="9" t="s">
        <v>328</v>
      </c>
      <c r="B568" s="4">
        <v>6.9199999999999998E-2</v>
      </c>
      <c r="C568" s="4">
        <v>3.8800000000000001E-2</v>
      </c>
      <c r="D568" s="78">
        <v>56.1</v>
      </c>
    </row>
    <row r="569" spans="1:4">
      <c r="A569" s="9" t="s">
        <v>329</v>
      </c>
      <c r="B569" s="2">
        <v>1.2699999999999999E-2</v>
      </c>
      <c r="C569" s="2">
        <v>5.5799999999999999E-3</v>
      </c>
      <c r="D569" s="79">
        <v>44</v>
      </c>
    </row>
    <row r="570" spans="1:4">
      <c r="A570" s="9" t="s">
        <v>759</v>
      </c>
      <c r="B570" s="3"/>
      <c r="C570" s="4">
        <v>0</v>
      </c>
      <c r="D570" s="68"/>
    </row>
    <row r="571" spans="1:4">
      <c r="A571" s="9" t="s">
        <v>330</v>
      </c>
      <c r="B571" s="2">
        <v>0.32300000000000001</v>
      </c>
      <c r="C571" s="2">
        <v>0.23599999999999999</v>
      </c>
      <c r="D571" s="79">
        <v>73</v>
      </c>
    </row>
    <row r="572" spans="1:4">
      <c r="A572" s="9" t="s">
        <v>331</v>
      </c>
      <c r="B572" s="4">
        <v>8.6599999999999996E-2</v>
      </c>
      <c r="C572" s="4">
        <v>6.5199999999999994E-2</v>
      </c>
      <c r="D572" s="78">
        <v>75.3</v>
      </c>
    </row>
    <row r="573" spans="1:4">
      <c r="A573" s="9" t="s">
        <v>332</v>
      </c>
      <c r="B573" s="2">
        <v>0.72</v>
      </c>
      <c r="C573" s="2">
        <v>0.377</v>
      </c>
      <c r="D573" s="79">
        <v>52.4</v>
      </c>
    </row>
    <row r="574" spans="1:4">
      <c r="A574" s="9" t="s">
        <v>333</v>
      </c>
      <c r="B574" s="4">
        <v>0.14699999999999999</v>
      </c>
      <c r="C574" s="4">
        <v>5.2699999999999997E-2</v>
      </c>
      <c r="D574" s="78">
        <v>35.799999999999997</v>
      </c>
    </row>
    <row r="575" spans="1:4">
      <c r="A575" s="9" t="s">
        <v>334</v>
      </c>
      <c r="B575" s="5"/>
      <c r="C575" s="2">
        <v>0</v>
      </c>
      <c r="D575" s="77"/>
    </row>
    <row r="576" spans="1:4">
      <c r="A576" s="9" t="s">
        <v>335</v>
      </c>
      <c r="B576" s="4">
        <v>8.7300000000000003E-2</v>
      </c>
      <c r="C576" s="4">
        <v>4.1399999999999999E-2</v>
      </c>
      <c r="D576" s="78">
        <v>47.4</v>
      </c>
    </row>
    <row r="577" spans="1:4">
      <c r="A577" s="9" t="s">
        <v>336</v>
      </c>
      <c r="B577" s="2">
        <v>0.16300000000000001</v>
      </c>
      <c r="C577" s="5"/>
      <c r="D577" s="79">
        <v>0</v>
      </c>
    </row>
    <row r="578" spans="1:4">
      <c r="A578" s="9" t="s">
        <v>337</v>
      </c>
      <c r="B578" s="4">
        <v>2.6700000000000002E-2</v>
      </c>
      <c r="C578" s="4">
        <v>1.3100000000000001E-2</v>
      </c>
      <c r="D578" s="78">
        <v>49.2</v>
      </c>
    </row>
    <row r="579" spans="1:4">
      <c r="A579" s="9" t="s">
        <v>338</v>
      </c>
      <c r="B579" s="5"/>
      <c r="C579" s="2">
        <v>0</v>
      </c>
      <c r="D579" s="77"/>
    </row>
    <row r="580" spans="1:4" ht="17" thickBot="1">
      <c r="A580" s="81" t="s">
        <v>760</v>
      </c>
      <c r="B580" s="82"/>
      <c r="C580" s="83">
        <v>0</v>
      </c>
      <c r="D580" s="8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1F46-BC88-744C-B8DA-EF8A2DD647CE}">
  <dimension ref="A1:AG100"/>
  <sheetViews>
    <sheetView workbookViewId="0">
      <selection activeCell="B1" sqref="B1:B1048576"/>
    </sheetView>
  </sheetViews>
  <sheetFormatPr baseColWidth="10" defaultColWidth="8.83203125" defaultRowHeight="16"/>
  <cols>
    <col min="2" max="2" width="31.1640625" bestFit="1" customWidth="1"/>
    <col min="25" max="28" width="10.1640625" bestFit="1" customWidth="1"/>
  </cols>
  <sheetData>
    <row r="1" spans="1:33">
      <c r="B1" s="39" t="s">
        <v>103</v>
      </c>
      <c r="C1" s="31" t="s">
        <v>66</v>
      </c>
      <c r="D1" s="32" t="s">
        <v>67</v>
      </c>
      <c r="E1" s="32" t="s">
        <v>68</v>
      </c>
      <c r="F1" s="32" t="s">
        <v>69</v>
      </c>
      <c r="G1" s="32" t="s">
        <v>70</v>
      </c>
      <c r="H1" s="32" t="s">
        <v>71</v>
      </c>
      <c r="I1" s="32" t="s">
        <v>72</v>
      </c>
      <c r="J1" s="32" t="s">
        <v>74</v>
      </c>
      <c r="K1" s="32" t="s">
        <v>75</v>
      </c>
      <c r="L1" s="32" t="s">
        <v>76</v>
      </c>
      <c r="M1" s="32" t="s">
        <v>77</v>
      </c>
      <c r="N1" s="32" t="s">
        <v>78</v>
      </c>
      <c r="O1" s="32" t="s">
        <v>79</v>
      </c>
      <c r="P1" s="32" t="s">
        <v>80</v>
      </c>
      <c r="Q1" s="32" t="s">
        <v>81</v>
      </c>
      <c r="R1" s="32" t="s">
        <v>82</v>
      </c>
      <c r="S1" s="32" t="s">
        <v>83</v>
      </c>
      <c r="T1" s="32" t="s">
        <v>84</v>
      </c>
      <c r="U1" s="32" t="s">
        <v>85</v>
      </c>
      <c r="V1" s="32" t="s">
        <v>86</v>
      </c>
      <c r="W1" s="32" t="s">
        <v>87</v>
      </c>
      <c r="X1" s="33" t="s">
        <v>88</v>
      </c>
      <c r="Y1" s="31" t="s">
        <v>93</v>
      </c>
      <c r="Z1" s="32" t="s">
        <v>94</v>
      </c>
      <c r="AA1" s="32" t="s">
        <v>95</v>
      </c>
      <c r="AB1" s="33" t="s">
        <v>96</v>
      </c>
      <c r="AC1" s="31" t="s">
        <v>101</v>
      </c>
      <c r="AD1" s="32" t="s">
        <v>340</v>
      </c>
      <c r="AE1" s="33" t="s">
        <v>341</v>
      </c>
    </row>
    <row r="2" spans="1:33">
      <c r="B2" s="40" t="s">
        <v>764</v>
      </c>
      <c r="C2" s="34" t="s">
        <v>3</v>
      </c>
      <c r="D2" s="100" t="s">
        <v>4</v>
      </c>
      <c r="E2" s="35" t="s">
        <v>5</v>
      </c>
      <c r="F2" s="35" t="s">
        <v>89</v>
      </c>
      <c r="G2" s="35" t="s">
        <v>7</v>
      </c>
      <c r="H2" s="35" t="s">
        <v>8</v>
      </c>
      <c r="I2" s="35" t="s">
        <v>90</v>
      </c>
      <c r="J2" s="35" t="s">
        <v>13</v>
      </c>
      <c r="K2" s="35" t="s">
        <v>92</v>
      </c>
      <c r="L2" s="35" t="s">
        <v>15</v>
      </c>
      <c r="M2" s="35" t="s">
        <v>16</v>
      </c>
      <c r="N2" s="35" t="s">
        <v>17</v>
      </c>
      <c r="O2" s="35" t="s">
        <v>18</v>
      </c>
      <c r="P2" s="35" t="s">
        <v>19</v>
      </c>
      <c r="Q2" s="35" t="s">
        <v>20</v>
      </c>
      <c r="R2" s="35" t="s">
        <v>21</v>
      </c>
      <c r="S2" s="35" t="s">
        <v>22</v>
      </c>
      <c r="T2" s="35" t="s">
        <v>23</v>
      </c>
      <c r="U2" s="35" t="s">
        <v>24</v>
      </c>
      <c r="V2" s="35" t="s">
        <v>25</v>
      </c>
      <c r="W2" s="35" t="s">
        <v>26</v>
      </c>
      <c r="X2" s="36" t="s">
        <v>27</v>
      </c>
      <c r="Y2" s="34" t="s">
        <v>97</v>
      </c>
      <c r="Z2" s="35" t="s">
        <v>98</v>
      </c>
      <c r="AA2" s="35" t="s">
        <v>99</v>
      </c>
      <c r="AB2" s="36" t="s">
        <v>100</v>
      </c>
      <c r="AC2" s="34" t="s">
        <v>102</v>
      </c>
      <c r="AD2" s="35" t="s">
        <v>343</v>
      </c>
      <c r="AE2" s="36" t="s">
        <v>344</v>
      </c>
    </row>
    <row r="3" spans="1:33">
      <c r="A3" t="s">
        <v>765</v>
      </c>
      <c r="B3" s="40" t="s">
        <v>345</v>
      </c>
      <c r="C3" s="41">
        <v>3.14</v>
      </c>
      <c r="D3" s="42">
        <v>3.06</v>
      </c>
      <c r="E3" s="42">
        <v>2.73</v>
      </c>
      <c r="F3" s="42">
        <v>2.72</v>
      </c>
      <c r="G3" s="42">
        <v>2.84</v>
      </c>
      <c r="H3" s="42">
        <v>2.7</v>
      </c>
      <c r="I3" s="42">
        <v>2.76</v>
      </c>
      <c r="J3" s="42">
        <v>2.7</v>
      </c>
      <c r="K3" s="42">
        <v>3.33</v>
      </c>
      <c r="L3" s="42">
        <v>2.82</v>
      </c>
      <c r="M3" s="42">
        <v>2.8</v>
      </c>
      <c r="N3" s="42">
        <v>3</v>
      </c>
      <c r="O3" s="42">
        <v>3.18</v>
      </c>
      <c r="P3" s="42">
        <v>3.36</v>
      </c>
      <c r="Q3" s="42">
        <v>2.92</v>
      </c>
      <c r="R3" s="42">
        <v>3.63</v>
      </c>
      <c r="S3" s="42">
        <v>3.18</v>
      </c>
      <c r="T3" s="42">
        <v>4.1500000000000004</v>
      </c>
      <c r="U3" s="42">
        <v>4.49</v>
      </c>
      <c r="V3" s="42">
        <v>2.97</v>
      </c>
      <c r="W3" s="42">
        <v>2.8</v>
      </c>
      <c r="X3" s="43">
        <v>2.94</v>
      </c>
      <c r="Y3" s="41">
        <v>1.34</v>
      </c>
      <c r="Z3" s="42">
        <v>5.05</v>
      </c>
      <c r="AA3" s="42">
        <v>6.63</v>
      </c>
      <c r="AB3" s="43">
        <v>13.34</v>
      </c>
      <c r="AC3" s="41">
        <v>3.28</v>
      </c>
      <c r="AD3" s="42">
        <v>2.86</v>
      </c>
      <c r="AE3" s="43">
        <v>2.67</v>
      </c>
    </row>
    <row r="4" spans="1:33">
      <c r="A4" t="s">
        <v>766</v>
      </c>
      <c r="B4" s="40" t="s">
        <v>346</v>
      </c>
      <c r="C4" s="41">
        <v>2.7318000000000002</v>
      </c>
      <c r="D4" s="42">
        <v>2.3868</v>
      </c>
      <c r="E4" s="42" t="s">
        <v>347</v>
      </c>
      <c r="F4" s="42">
        <v>2.2848000000000002</v>
      </c>
      <c r="G4" s="42">
        <v>1.4767999999999999</v>
      </c>
      <c r="H4" s="42">
        <v>2.2949999999999999</v>
      </c>
      <c r="I4" s="42">
        <v>2.0147999999999997</v>
      </c>
      <c r="J4" s="42">
        <v>2.2410000000000001</v>
      </c>
      <c r="K4" s="42">
        <v>2.9304000000000001</v>
      </c>
      <c r="L4" s="42">
        <v>2.0867999999999998</v>
      </c>
      <c r="M4" s="42">
        <v>1.3159999999999998</v>
      </c>
      <c r="N4" s="42">
        <v>2.04</v>
      </c>
      <c r="O4" s="42">
        <v>3.1482000000000001</v>
      </c>
      <c r="P4" s="42">
        <v>2.6208</v>
      </c>
      <c r="Q4" s="42">
        <v>2.8908</v>
      </c>
      <c r="R4" s="42">
        <v>3.3395999999999999</v>
      </c>
      <c r="S4" s="42">
        <v>2.1306000000000003</v>
      </c>
      <c r="T4" s="42">
        <v>2.1165000000000003</v>
      </c>
      <c r="U4" s="42">
        <v>3.5022000000000002</v>
      </c>
      <c r="V4" s="42">
        <v>2.5542000000000002</v>
      </c>
      <c r="W4" s="42">
        <v>2.38</v>
      </c>
      <c r="X4" s="43">
        <v>2.5284</v>
      </c>
      <c r="Y4" s="41">
        <v>0.83080000000000009</v>
      </c>
      <c r="Z4" s="42">
        <v>3.1814999999999998</v>
      </c>
      <c r="AA4" s="42">
        <v>5.5028999999999995</v>
      </c>
      <c r="AB4" s="43">
        <v>7.4704000000000006</v>
      </c>
      <c r="AC4" s="41">
        <v>2.8535999999999997</v>
      </c>
      <c r="AD4" s="42">
        <v>2.2879999999999998</v>
      </c>
      <c r="AE4" s="43">
        <v>1.6019999999999999</v>
      </c>
    </row>
    <row r="5" spans="1:33">
      <c r="A5" t="s">
        <v>767</v>
      </c>
      <c r="B5" s="40" t="s">
        <v>348</v>
      </c>
      <c r="C5" s="41">
        <v>2.7946</v>
      </c>
      <c r="D5" s="42">
        <v>2.6316000000000002</v>
      </c>
      <c r="E5" s="42">
        <v>0.92820000000000003</v>
      </c>
      <c r="F5" s="42">
        <v>2.3664000000000001</v>
      </c>
      <c r="G5" s="42">
        <v>2.1867999999999999</v>
      </c>
      <c r="H5" s="42">
        <v>2.3490000000000002</v>
      </c>
      <c r="I5" s="42">
        <v>2.2907999999999995</v>
      </c>
      <c r="J5" s="42">
        <v>2.3220000000000001</v>
      </c>
      <c r="K5" s="42">
        <v>2.9970000000000003</v>
      </c>
      <c r="L5" s="42">
        <v>2.3687999999999998</v>
      </c>
      <c r="M5" s="42">
        <v>2.0999999999999996</v>
      </c>
      <c r="N5" s="42">
        <v>2.46</v>
      </c>
      <c r="O5" s="42">
        <v>2.9574000000000003</v>
      </c>
      <c r="P5" s="42">
        <v>2.8895999999999997</v>
      </c>
      <c r="Q5" s="42">
        <v>2.7156000000000002</v>
      </c>
      <c r="R5" s="42">
        <v>3.3395999999999999</v>
      </c>
      <c r="S5" s="42">
        <v>2.1941999999999999</v>
      </c>
      <c r="T5" s="42">
        <v>3.2785000000000006</v>
      </c>
      <c r="U5" s="42">
        <v>3.5471000000000004</v>
      </c>
      <c r="V5" s="42">
        <v>2.6136000000000004</v>
      </c>
      <c r="W5" s="42">
        <v>2.4359999999999999</v>
      </c>
      <c r="X5" s="43">
        <v>2.5872000000000002</v>
      </c>
      <c r="Y5" s="41">
        <v>1.0720000000000001</v>
      </c>
      <c r="Z5" s="42">
        <v>3.9895</v>
      </c>
      <c r="AA5" s="42">
        <v>5.7680999999999996</v>
      </c>
      <c r="AB5" s="43">
        <v>10.672000000000001</v>
      </c>
      <c r="AC5" s="41">
        <v>2.9192</v>
      </c>
      <c r="AD5" s="42">
        <v>2.4596</v>
      </c>
      <c r="AE5" s="43">
        <v>2.1093000000000002</v>
      </c>
    </row>
    <row r="6" spans="1:33">
      <c r="A6" t="s">
        <v>768</v>
      </c>
      <c r="B6" s="40" t="s">
        <v>349</v>
      </c>
      <c r="C6" s="41">
        <v>2.7946</v>
      </c>
      <c r="D6" s="42">
        <v>2.6316000000000002</v>
      </c>
      <c r="E6" s="42">
        <v>0.92820000000000003</v>
      </c>
      <c r="F6" s="42">
        <v>2.3664000000000001</v>
      </c>
      <c r="G6" s="42">
        <v>2.1867999999999999</v>
      </c>
      <c r="H6" s="42">
        <v>2.3490000000000002</v>
      </c>
      <c r="I6" s="42">
        <v>2.2907999999999995</v>
      </c>
      <c r="J6" s="42">
        <v>2.3220000000000001</v>
      </c>
      <c r="K6" s="42">
        <v>2.9970000000000003</v>
      </c>
      <c r="L6" s="42">
        <v>2.3687999999999998</v>
      </c>
      <c r="M6" s="42">
        <v>2.0999999999999996</v>
      </c>
      <c r="N6" s="42">
        <v>2.46</v>
      </c>
      <c r="O6" s="42">
        <v>2.9574000000000003</v>
      </c>
      <c r="P6" s="42">
        <v>2.8895999999999997</v>
      </c>
      <c r="Q6" s="42">
        <v>2.7156000000000002</v>
      </c>
      <c r="R6" s="42">
        <v>3.3395999999999999</v>
      </c>
      <c r="S6" s="42">
        <v>2.1941999999999999</v>
      </c>
      <c r="T6" s="42">
        <v>3.2785000000000006</v>
      </c>
      <c r="U6" s="42">
        <v>3.5471000000000004</v>
      </c>
      <c r="V6" s="42">
        <v>2.6136000000000004</v>
      </c>
      <c r="W6" s="42">
        <v>2.4359999999999999</v>
      </c>
      <c r="X6" s="43">
        <v>2.5872000000000002</v>
      </c>
      <c r="Y6" s="41">
        <v>1.0720000000000001</v>
      </c>
      <c r="Z6" s="42">
        <v>3.9895</v>
      </c>
      <c r="AA6" s="42">
        <v>5.7680999999999996</v>
      </c>
      <c r="AB6" s="43">
        <v>10.672000000000001</v>
      </c>
      <c r="AC6" s="41">
        <v>2.9192</v>
      </c>
      <c r="AD6" s="42">
        <v>2.4596</v>
      </c>
      <c r="AE6" s="43">
        <v>2.1093000000000002</v>
      </c>
    </row>
    <row r="7" spans="1:33">
      <c r="A7" t="s">
        <v>769</v>
      </c>
      <c r="B7" s="40" t="s">
        <v>350</v>
      </c>
      <c r="C7" s="41">
        <v>2.7946</v>
      </c>
      <c r="D7" s="42">
        <v>2.6316000000000002</v>
      </c>
      <c r="E7" s="42">
        <v>0.92820000000000003</v>
      </c>
      <c r="F7" s="42">
        <v>2.3664000000000001</v>
      </c>
      <c r="G7" s="42">
        <v>2.1867999999999999</v>
      </c>
      <c r="H7" s="42">
        <v>2.3490000000000002</v>
      </c>
      <c r="I7" s="42">
        <v>2.2907999999999995</v>
      </c>
      <c r="J7" s="42">
        <v>2.3220000000000001</v>
      </c>
      <c r="K7" s="42">
        <v>2.9970000000000003</v>
      </c>
      <c r="L7" s="42">
        <v>2.3687999999999998</v>
      </c>
      <c r="M7" s="42">
        <v>2.0999999999999996</v>
      </c>
      <c r="N7" s="42">
        <v>2.46</v>
      </c>
      <c r="O7" s="42">
        <v>2.9574000000000003</v>
      </c>
      <c r="P7" s="42">
        <v>2.8895999999999997</v>
      </c>
      <c r="Q7" s="42">
        <v>2.7156000000000002</v>
      </c>
      <c r="R7" s="42">
        <v>3.3395999999999999</v>
      </c>
      <c r="S7" s="42">
        <v>2.1941999999999999</v>
      </c>
      <c r="T7" s="42">
        <v>3.2785000000000006</v>
      </c>
      <c r="U7" s="42">
        <v>3.5471000000000004</v>
      </c>
      <c r="V7" s="42">
        <v>2.6136000000000004</v>
      </c>
      <c r="W7" s="42">
        <v>2.4359999999999999</v>
      </c>
      <c r="X7" s="43">
        <v>2.5872000000000002</v>
      </c>
      <c r="Y7" s="41">
        <v>1.0720000000000001</v>
      </c>
      <c r="Z7" s="42">
        <v>3.9895</v>
      </c>
      <c r="AA7" s="42">
        <v>5.7680999999999996</v>
      </c>
      <c r="AB7" s="43">
        <v>10.672000000000001</v>
      </c>
      <c r="AC7" s="41">
        <v>2.9192</v>
      </c>
      <c r="AD7" s="42">
        <v>2.4596</v>
      </c>
      <c r="AE7" s="43">
        <v>2.1093000000000002</v>
      </c>
    </row>
    <row r="8" spans="1:33">
      <c r="A8" t="s">
        <v>770</v>
      </c>
      <c r="B8" s="40" t="s">
        <v>396</v>
      </c>
      <c r="C8" s="41">
        <v>5.5578000000000003</v>
      </c>
      <c r="D8" s="42">
        <v>5.2938000000000001</v>
      </c>
      <c r="E8" s="42">
        <v>3.2759999999999998</v>
      </c>
      <c r="F8" s="42">
        <v>4.7056000000000004</v>
      </c>
      <c r="G8" s="42">
        <v>4.6291999999999991</v>
      </c>
      <c r="H8" s="42">
        <v>4.6710000000000003</v>
      </c>
      <c r="I8" s="42">
        <v>4.6643999999999997</v>
      </c>
      <c r="J8" s="42">
        <v>4.6440000000000001</v>
      </c>
      <c r="K8" s="42">
        <v>5.9274000000000004</v>
      </c>
      <c r="L8" s="42">
        <v>4.7939999999999996</v>
      </c>
      <c r="M8" s="42">
        <v>4.508</v>
      </c>
      <c r="N8" s="42">
        <v>5.0999999999999996</v>
      </c>
      <c r="O8" s="42">
        <v>5.7558000000000007</v>
      </c>
      <c r="P8" s="42">
        <v>5.8127999999999993</v>
      </c>
      <c r="Q8" s="42">
        <v>5.3144</v>
      </c>
      <c r="R8" s="42">
        <v>6.5702999999999996</v>
      </c>
      <c r="S8" s="42">
        <v>4.9926000000000004</v>
      </c>
      <c r="T8" s="42">
        <v>7.0135000000000005</v>
      </c>
      <c r="U8" s="42">
        <v>7.6779000000000002</v>
      </c>
      <c r="V8" s="42">
        <v>5.1975000000000007</v>
      </c>
      <c r="W8" s="42">
        <v>4.8719999999999999</v>
      </c>
      <c r="X8" s="43">
        <v>5.1449999999999996</v>
      </c>
      <c r="Y8" s="41">
        <v>2.2378</v>
      </c>
      <c r="Z8" s="42">
        <v>8.3324999999999996</v>
      </c>
      <c r="AA8" s="42">
        <v>11.469899999999999</v>
      </c>
      <c r="AB8" s="43">
        <v>22.678000000000001</v>
      </c>
      <c r="AC8" s="41">
        <v>5.8384</v>
      </c>
      <c r="AD8" s="42">
        <v>4.9478</v>
      </c>
      <c r="AE8" s="43">
        <v>4.3788</v>
      </c>
    </row>
    <row r="9" spans="1:33">
      <c r="A9" t="s">
        <v>12</v>
      </c>
      <c r="B9" s="101" t="s">
        <v>399</v>
      </c>
      <c r="C9" s="102">
        <f>C8</f>
        <v>5.5578000000000003</v>
      </c>
      <c r="D9" s="102">
        <f t="shared" ref="D9:AE9" si="0">D8</f>
        <v>5.2938000000000001</v>
      </c>
      <c r="E9" s="102">
        <f t="shared" si="0"/>
        <v>3.2759999999999998</v>
      </c>
      <c r="F9" s="102">
        <f t="shared" si="0"/>
        <v>4.7056000000000004</v>
      </c>
      <c r="G9" s="102">
        <f t="shared" si="0"/>
        <v>4.6291999999999991</v>
      </c>
      <c r="H9" s="102">
        <f t="shared" si="0"/>
        <v>4.6710000000000003</v>
      </c>
      <c r="I9" s="102">
        <f t="shared" si="0"/>
        <v>4.6643999999999997</v>
      </c>
      <c r="J9" s="102">
        <f t="shared" si="0"/>
        <v>4.6440000000000001</v>
      </c>
      <c r="K9" s="102">
        <f t="shared" si="0"/>
        <v>5.9274000000000004</v>
      </c>
      <c r="L9" s="102">
        <f t="shared" si="0"/>
        <v>4.7939999999999996</v>
      </c>
      <c r="M9" s="102">
        <f t="shared" si="0"/>
        <v>4.508</v>
      </c>
      <c r="N9" s="102">
        <f t="shared" si="0"/>
        <v>5.0999999999999996</v>
      </c>
      <c r="O9" s="102">
        <f t="shared" si="0"/>
        <v>5.7558000000000007</v>
      </c>
      <c r="P9" s="102">
        <f t="shared" si="0"/>
        <v>5.8127999999999993</v>
      </c>
      <c r="Q9" s="102">
        <f t="shared" si="0"/>
        <v>5.3144</v>
      </c>
      <c r="R9" s="102">
        <f t="shared" si="0"/>
        <v>6.5702999999999996</v>
      </c>
      <c r="S9" s="102">
        <f t="shared" si="0"/>
        <v>4.9926000000000004</v>
      </c>
      <c r="T9" s="102">
        <f t="shared" si="0"/>
        <v>7.0135000000000005</v>
      </c>
      <c r="U9" s="102">
        <f t="shared" si="0"/>
        <v>7.6779000000000002</v>
      </c>
      <c r="V9" s="102">
        <f t="shared" si="0"/>
        <v>5.1975000000000007</v>
      </c>
      <c r="W9" s="102">
        <f t="shared" si="0"/>
        <v>4.8719999999999999</v>
      </c>
      <c r="X9" s="102">
        <f t="shared" si="0"/>
        <v>5.1449999999999996</v>
      </c>
      <c r="Y9" s="102">
        <f t="shared" si="0"/>
        <v>2.2378</v>
      </c>
      <c r="Z9" s="102">
        <f t="shared" si="0"/>
        <v>8.3324999999999996</v>
      </c>
      <c r="AA9" s="102">
        <f t="shared" si="0"/>
        <v>11.469899999999999</v>
      </c>
      <c r="AB9" s="102">
        <f t="shared" si="0"/>
        <v>22.678000000000001</v>
      </c>
      <c r="AC9" s="102">
        <f t="shared" si="0"/>
        <v>5.8384</v>
      </c>
      <c r="AD9" s="102">
        <f t="shared" si="0"/>
        <v>4.9478</v>
      </c>
      <c r="AE9" s="102">
        <f t="shared" si="0"/>
        <v>4.3788</v>
      </c>
    </row>
    <row r="10" spans="1:33">
      <c r="A10" t="s">
        <v>771</v>
      </c>
      <c r="B10" s="101" t="s">
        <v>397</v>
      </c>
      <c r="C10" s="41">
        <v>5.2438000000000002</v>
      </c>
      <c r="D10" s="42">
        <v>5.0183999999999997</v>
      </c>
      <c r="E10" s="42">
        <v>2.9757000000000002</v>
      </c>
      <c r="F10" s="42">
        <v>4.4064000000000005</v>
      </c>
      <c r="G10" s="42">
        <v>4.3452000000000002</v>
      </c>
      <c r="H10" s="42">
        <v>4.3740000000000006</v>
      </c>
      <c r="I10" s="42">
        <v>4.3883999999999999</v>
      </c>
      <c r="J10" s="42">
        <v>4.3470000000000004</v>
      </c>
      <c r="K10" s="42">
        <v>5.6276999999999999</v>
      </c>
      <c r="L10" s="42">
        <v>4.5119999999999996</v>
      </c>
      <c r="M10" s="42">
        <v>4.1999999999999993</v>
      </c>
      <c r="N10" s="42">
        <v>4.8000000000000007</v>
      </c>
      <c r="O10" s="42">
        <v>5.4378000000000002</v>
      </c>
      <c r="P10" s="42">
        <v>5.4432</v>
      </c>
      <c r="Q10" s="42">
        <v>5.0515999999999996</v>
      </c>
      <c r="R10" s="42">
        <v>6.2798999999999996</v>
      </c>
      <c r="S10" s="42">
        <v>4.7064000000000004</v>
      </c>
      <c r="T10" s="42">
        <v>6.7230000000000008</v>
      </c>
      <c r="U10" s="42">
        <v>7.3635999999999999</v>
      </c>
      <c r="V10" s="42">
        <v>4.9005000000000001</v>
      </c>
      <c r="W10" s="42">
        <v>4.5639999999999992</v>
      </c>
      <c r="X10" s="43">
        <v>4.851</v>
      </c>
      <c r="Y10" s="41">
        <v>2.1038000000000001</v>
      </c>
      <c r="Z10" s="42">
        <v>7.7264999999999997</v>
      </c>
      <c r="AA10" s="42">
        <v>10.740600000000001</v>
      </c>
      <c r="AB10" s="43">
        <v>21.610800000000001</v>
      </c>
      <c r="AC10" s="41">
        <v>5.5431999999999997</v>
      </c>
      <c r="AD10" s="42">
        <v>4.6332000000000004</v>
      </c>
      <c r="AE10" s="43">
        <v>4.0850999999999997</v>
      </c>
    </row>
    <row r="11" spans="1:33">
      <c r="A11" t="s">
        <v>14</v>
      </c>
      <c r="B11" s="40" t="s">
        <v>398</v>
      </c>
      <c r="C11" s="41">
        <f>C10</f>
        <v>5.2438000000000002</v>
      </c>
      <c r="D11" s="41">
        <f t="shared" ref="D11:AE11" si="1">D10</f>
        <v>5.0183999999999997</v>
      </c>
      <c r="E11" s="41">
        <f t="shared" si="1"/>
        <v>2.9757000000000002</v>
      </c>
      <c r="F11" s="41">
        <f t="shared" si="1"/>
        <v>4.4064000000000005</v>
      </c>
      <c r="G11" s="41">
        <f t="shared" si="1"/>
        <v>4.3452000000000002</v>
      </c>
      <c r="H11" s="41">
        <f t="shared" si="1"/>
        <v>4.3740000000000006</v>
      </c>
      <c r="I11" s="41">
        <f t="shared" si="1"/>
        <v>4.3883999999999999</v>
      </c>
      <c r="J11" s="41">
        <f t="shared" si="1"/>
        <v>4.3470000000000004</v>
      </c>
      <c r="K11" s="41">
        <f t="shared" si="1"/>
        <v>5.6276999999999999</v>
      </c>
      <c r="L11" s="41">
        <f t="shared" si="1"/>
        <v>4.5119999999999996</v>
      </c>
      <c r="M11" s="41">
        <f t="shared" si="1"/>
        <v>4.1999999999999993</v>
      </c>
      <c r="N11" s="41">
        <f t="shared" si="1"/>
        <v>4.8000000000000007</v>
      </c>
      <c r="O11" s="41">
        <f t="shared" si="1"/>
        <v>5.4378000000000002</v>
      </c>
      <c r="P11" s="41">
        <f t="shared" si="1"/>
        <v>5.4432</v>
      </c>
      <c r="Q11" s="41">
        <f t="shared" si="1"/>
        <v>5.0515999999999996</v>
      </c>
      <c r="R11" s="41">
        <f t="shared" si="1"/>
        <v>6.2798999999999996</v>
      </c>
      <c r="S11" s="41">
        <f t="shared" si="1"/>
        <v>4.7064000000000004</v>
      </c>
      <c r="T11" s="41">
        <f t="shared" si="1"/>
        <v>6.7230000000000008</v>
      </c>
      <c r="U11" s="41">
        <f t="shared" si="1"/>
        <v>7.3635999999999999</v>
      </c>
      <c r="V11" s="41">
        <f t="shared" si="1"/>
        <v>4.9005000000000001</v>
      </c>
      <c r="W11" s="41">
        <f t="shared" si="1"/>
        <v>4.5639999999999992</v>
      </c>
      <c r="X11" s="41">
        <f t="shared" si="1"/>
        <v>4.851</v>
      </c>
      <c r="Y11" s="41">
        <f t="shared" si="1"/>
        <v>2.1038000000000001</v>
      </c>
      <c r="Z11" s="41">
        <f t="shared" si="1"/>
        <v>7.7264999999999997</v>
      </c>
      <c r="AA11" s="41">
        <f t="shared" si="1"/>
        <v>10.740600000000001</v>
      </c>
      <c r="AB11" s="41">
        <f t="shared" si="1"/>
        <v>21.610800000000001</v>
      </c>
      <c r="AC11" s="41">
        <f t="shared" si="1"/>
        <v>5.5431999999999997</v>
      </c>
      <c r="AD11" s="41">
        <f t="shared" si="1"/>
        <v>4.6332000000000004</v>
      </c>
      <c r="AE11" s="41">
        <f t="shared" si="1"/>
        <v>4.0850999999999997</v>
      </c>
    </row>
    <row r="12" spans="1:33">
      <c r="B12" s="40" t="s">
        <v>351</v>
      </c>
      <c r="C12" s="41">
        <v>1.6014000000000002</v>
      </c>
      <c r="D12" s="42">
        <v>1.53</v>
      </c>
      <c r="E12" s="42">
        <v>0.13650000000000001</v>
      </c>
      <c r="F12" s="42">
        <v>1.1696</v>
      </c>
      <c r="G12" s="42">
        <v>1.3915999999999999</v>
      </c>
      <c r="H12" s="42">
        <v>1.5389999999999999</v>
      </c>
      <c r="I12" s="42">
        <v>1.242</v>
      </c>
      <c r="J12" s="42">
        <v>1.107</v>
      </c>
      <c r="K12" s="42">
        <v>1.8315000000000001</v>
      </c>
      <c r="L12" s="42">
        <v>1.4381999999999999</v>
      </c>
      <c r="M12" s="42">
        <v>1.288</v>
      </c>
      <c r="N12" s="42">
        <v>1.0499999999999998</v>
      </c>
      <c r="O12" s="42">
        <v>2.1624000000000003</v>
      </c>
      <c r="P12" s="42">
        <v>1.7136</v>
      </c>
      <c r="Q12" s="42">
        <v>1.9564000000000001</v>
      </c>
      <c r="R12" s="42">
        <v>2.5409999999999999</v>
      </c>
      <c r="S12" s="42">
        <v>1.431</v>
      </c>
      <c r="T12" s="42">
        <v>2.1580000000000004</v>
      </c>
      <c r="U12" s="42">
        <v>2.1552000000000002</v>
      </c>
      <c r="V12" s="42">
        <v>1.1880000000000002</v>
      </c>
      <c r="W12" s="42">
        <v>1.0919999999999999</v>
      </c>
      <c r="X12" s="43">
        <v>1.2053999999999998</v>
      </c>
      <c r="Y12" s="41">
        <v>0.71020000000000005</v>
      </c>
      <c r="Z12" s="42">
        <v>1.2625</v>
      </c>
      <c r="AA12" s="42">
        <v>2.2542</v>
      </c>
      <c r="AB12" s="43">
        <v>5.7362000000000002</v>
      </c>
      <c r="AC12" s="41">
        <v>1.5743999999999998</v>
      </c>
      <c r="AD12" s="42">
        <v>1.3156000000000001</v>
      </c>
      <c r="AE12" s="43">
        <v>1.3083</v>
      </c>
      <c r="AG12" s="44"/>
    </row>
    <row r="13" spans="1:33">
      <c r="B13" s="40" t="s">
        <v>352</v>
      </c>
      <c r="C13" s="41">
        <v>4.1448</v>
      </c>
      <c r="D13" s="42">
        <v>3.9780000000000002</v>
      </c>
      <c r="E13" s="42">
        <v>3.3306</v>
      </c>
      <c r="F13" s="42">
        <v>3.2640000000000002</v>
      </c>
      <c r="G13" s="42">
        <v>3.6919999999999997</v>
      </c>
      <c r="H13" s="42">
        <v>3.8340000000000001</v>
      </c>
      <c r="I13" s="42">
        <v>3.3947999999999996</v>
      </c>
      <c r="J13" s="42">
        <v>3.1859999999999999</v>
      </c>
      <c r="K13" s="42">
        <v>4.5621</v>
      </c>
      <c r="L13" s="42">
        <v>3.6377999999999999</v>
      </c>
      <c r="M13" s="42">
        <v>3.6959999999999997</v>
      </c>
      <c r="N13" s="42">
        <v>3.42</v>
      </c>
      <c r="O13" s="42">
        <v>4.9608000000000008</v>
      </c>
      <c r="P13" s="42">
        <v>4.4016000000000002</v>
      </c>
      <c r="Q13" s="42">
        <v>4.3507999999999996</v>
      </c>
      <c r="R13" s="42">
        <v>5.5538999999999996</v>
      </c>
      <c r="S13" s="42">
        <v>4.6109999999999998</v>
      </c>
      <c r="T13" s="42">
        <v>5.7270000000000003</v>
      </c>
      <c r="U13" s="42">
        <v>6.6002999999999998</v>
      </c>
      <c r="V13" s="42">
        <v>3.5640000000000001</v>
      </c>
      <c r="W13" s="42">
        <v>3.2759999999999998</v>
      </c>
      <c r="X13" s="43">
        <v>3.5573999999999999</v>
      </c>
      <c r="Y13" s="41">
        <v>1.8224000000000002</v>
      </c>
      <c r="Z13" s="42">
        <v>5.1005000000000003</v>
      </c>
      <c r="AA13" s="42">
        <v>7.4256000000000002</v>
      </c>
      <c r="AB13" s="43">
        <v>16.941800000000001</v>
      </c>
      <c r="AC13" s="41">
        <v>4.2640000000000002</v>
      </c>
      <c r="AD13" s="42">
        <v>3.5749999999999997</v>
      </c>
      <c r="AE13" s="43">
        <v>3.3641999999999999</v>
      </c>
    </row>
    <row r="14" spans="1:33">
      <c r="B14" s="40" t="s">
        <v>353</v>
      </c>
      <c r="C14" s="41">
        <v>0.37680000000000002</v>
      </c>
      <c r="D14" s="42">
        <v>0.64259999999999995</v>
      </c>
      <c r="E14" s="42">
        <v>2.6753999999999998</v>
      </c>
      <c r="F14" s="42">
        <v>0.38080000000000008</v>
      </c>
      <c r="G14" s="42">
        <v>1.3347999999999998</v>
      </c>
      <c r="H14" s="42">
        <v>0.37800000000000006</v>
      </c>
      <c r="I14" s="42">
        <v>0.69</v>
      </c>
      <c r="J14" s="42">
        <v>0.43200000000000005</v>
      </c>
      <c r="K14" s="42">
        <v>0.36630000000000001</v>
      </c>
      <c r="L14" s="42">
        <v>0.67679999999999996</v>
      </c>
      <c r="M14" s="42">
        <v>1.456</v>
      </c>
      <c r="N14" s="42">
        <v>0.92999999999999994</v>
      </c>
      <c r="O14" s="42" t="s">
        <v>347</v>
      </c>
      <c r="P14" s="42">
        <v>0.67200000000000004</v>
      </c>
      <c r="Q14" s="42">
        <v>0</v>
      </c>
      <c r="R14" s="42">
        <v>0.25409999999999999</v>
      </c>
      <c r="S14" s="42">
        <v>0.98580000000000001</v>
      </c>
      <c r="T14" s="42">
        <v>1.992</v>
      </c>
      <c r="U14" s="42">
        <v>0.94289999999999996</v>
      </c>
      <c r="V14" s="42">
        <v>0.38610000000000005</v>
      </c>
      <c r="W14" s="42">
        <v>0.36399999999999999</v>
      </c>
      <c r="X14" s="43">
        <v>0.38219999999999998</v>
      </c>
      <c r="Y14" s="41">
        <v>0.4824</v>
      </c>
      <c r="Z14" s="42">
        <v>1.8179999999999998</v>
      </c>
      <c r="AA14" s="42">
        <v>0.99449999999999994</v>
      </c>
      <c r="AB14" s="43">
        <v>5.6027999999999993</v>
      </c>
      <c r="AC14" s="41">
        <v>0.36079999999999995</v>
      </c>
      <c r="AD14" s="42">
        <v>0.51479999999999992</v>
      </c>
      <c r="AE14" s="43">
        <v>1.0413000000000001</v>
      </c>
    </row>
    <row r="15" spans="1:33">
      <c r="B15" s="40" t="s">
        <v>354</v>
      </c>
      <c r="C15" s="41">
        <v>0.37680000000000002</v>
      </c>
      <c r="D15" s="42">
        <v>0.64259999999999995</v>
      </c>
      <c r="E15" s="42">
        <v>1.6653</v>
      </c>
      <c r="F15" s="42">
        <v>0.38080000000000008</v>
      </c>
      <c r="G15" s="42">
        <v>1.3347999999999998</v>
      </c>
      <c r="H15" s="42">
        <v>0.37800000000000006</v>
      </c>
      <c r="I15" s="42">
        <v>0.69</v>
      </c>
      <c r="J15" s="42">
        <v>0.43200000000000005</v>
      </c>
      <c r="K15" s="42">
        <v>0.36630000000000001</v>
      </c>
      <c r="L15" s="42">
        <v>0.67679999999999996</v>
      </c>
      <c r="M15" s="42">
        <v>1.456</v>
      </c>
      <c r="N15" s="42">
        <v>0.92999999999999994</v>
      </c>
      <c r="O15" s="42">
        <v>0</v>
      </c>
      <c r="P15" s="42">
        <v>0.67200000000000004</v>
      </c>
      <c r="Q15" s="42" t="s">
        <v>347</v>
      </c>
      <c r="R15" s="42">
        <v>0.25409999999999999</v>
      </c>
      <c r="S15" s="42">
        <v>0.38159999999999999</v>
      </c>
      <c r="T15" s="42">
        <v>1.992</v>
      </c>
      <c r="U15" s="42">
        <v>0.35920000000000002</v>
      </c>
      <c r="V15" s="42">
        <v>0.38610000000000005</v>
      </c>
      <c r="W15" s="42">
        <v>0.36399999999999999</v>
      </c>
      <c r="X15" s="43">
        <v>0.38219999999999998</v>
      </c>
      <c r="Y15" s="41">
        <v>0.4824</v>
      </c>
      <c r="Z15" s="42">
        <v>1.8179999999999998</v>
      </c>
      <c r="AA15" s="42">
        <v>0.99449999999999994</v>
      </c>
      <c r="AB15" s="43">
        <v>5.6027999999999993</v>
      </c>
      <c r="AC15" s="41">
        <v>0.36079999999999995</v>
      </c>
      <c r="AD15" s="42">
        <v>0.51479999999999992</v>
      </c>
      <c r="AE15" s="43">
        <v>1.0413000000000001</v>
      </c>
    </row>
    <row r="16" spans="1:33">
      <c r="B16" s="40" t="s">
        <v>355</v>
      </c>
      <c r="C16" s="41">
        <v>9.4200000000000006E-2</v>
      </c>
      <c r="D16" s="42">
        <v>0.24480000000000002</v>
      </c>
      <c r="E16" s="42">
        <v>0.9554999999999999</v>
      </c>
      <c r="F16" s="42">
        <v>8.1600000000000006E-2</v>
      </c>
      <c r="G16" s="42">
        <v>0.71</v>
      </c>
      <c r="H16" s="42">
        <v>8.1000000000000003E-2</v>
      </c>
      <c r="I16" s="42">
        <v>0.30359999999999998</v>
      </c>
      <c r="J16" s="42">
        <v>0.13500000000000001</v>
      </c>
      <c r="K16" s="42">
        <v>9.9900000000000003E-2</v>
      </c>
      <c r="L16" s="42">
        <v>0.28199999999999997</v>
      </c>
      <c r="M16" s="42">
        <v>0.81199999999999994</v>
      </c>
      <c r="N16" s="42">
        <v>0.44999999999999996</v>
      </c>
      <c r="O16" s="42">
        <v>-0.15900000000000003</v>
      </c>
      <c r="P16" s="42">
        <v>0.26879999999999998</v>
      </c>
      <c r="Q16" s="42">
        <v>-0.14599999999999999</v>
      </c>
      <c r="R16" s="42" t="s">
        <v>347</v>
      </c>
      <c r="S16" s="42">
        <v>9.5399999999999999E-2</v>
      </c>
      <c r="T16" s="42">
        <v>1.1620000000000001</v>
      </c>
      <c r="U16" s="42">
        <v>8.9800000000000005E-2</v>
      </c>
      <c r="V16" s="42">
        <v>8.9099999999999999E-2</v>
      </c>
      <c r="W16" s="42">
        <v>8.3999999999999991E-2</v>
      </c>
      <c r="X16" s="43">
        <v>8.8200000000000001E-2</v>
      </c>
      <c r="Y16" s="41">
        <v>0.25459999999999999</v>
      </c>
      <c r="Z16" s="42">
        <v>0.90899999999999992</v>
      </c>
      <c r="AA16" s="42">
        <v>0.26519999999999999</v>
      </c>
      <c r="AB16" s="43">
        <v>3.2016</v>
      </c>
      <c r="AC16" s="41">
        <v>9.8399999999999987E-2</v>
      </c>
      <c r="AD16" s="42">
        <v>0.20020000000000002</v>
      </c>
      <c r="AE16" s="43">
        <v>0.53400000000000003</v>
      </c>
    </row>
    <row r="17" spans="2:31">
      <c r="B17" s="40" t="s">
        <v>356</v>
      </c>
      <c r="C17" s="41">
        <v>0.28260000000000002</v>
      </c>
      <c r="D17" s="42">
        <v>0.36719999999999997</v>
      </c>
      <c r="E17" s="42">
        <v>0.70979999999999999</v>
      </c>
      <c r="F17" s="42">
        <v>0.29920000000000002</v>
      </c>
      <c r="G17" s="42">
        <v>0.59639999999999993</v>
      </c>
      <c r="H17" s="42">
        <v>0.29700000000000004</v>
      </c>
      <c r="I17" s="42">
        <v>0.38640000000000002</v>
      </c>
      <c r="J17" s="42">
        <v>0.29700000000000004</v>
      </c>
      <c r="K17" s="42">
        <v>0.29970000000000002</v>
      </c>
      <c r="L17" s="42">
        <v>0.39480000000000004</v>
      </c>
      <c r="M17" s="42">
        <v>0.64400000000000002</v>
      </c>
      <c r="N17" s="42">
        <v>0.48</v>
      </c>
      <c r="O17" s="42">
        <v>0.15900000000000003</v>
      </c>
      <c r="P17" s="42">
        <v>0.40319999999999995</v>
      </c>
      <c r="Q17" s="42">
        <v>0.14599999999999999</v>
      </c>
      <c r="R17" s="42">
        <v>0.25409999999999999</v>
      </c>
      <c r="S17" s="42">
        <v>0.28620000000000001</v>
      </c>
      <c r="T17" s="42">
        <v>0.83000000000000007</v>
      </c>
      <c r="U17" s="42">
        <v>0.26940000000000003</v>
      </c>
      <c r="V17" s="42">
        <v>0.29700000000000004</v>
      </c>
      <c r="W17" s="42">
        <v>0.27999999999999997</v>
      </c>
      <c r="X17" s="43">
        <v>0.29399999999999998</v>
      </c>
      <c r="Y17" s="41">
        <v>0.2412</v>
      </c>
      <c r="Z17" s="42">
        <v>0.90899999999999992</v>
      </c>
      <c r="AA17" s="42">
        <v>0.72929999999999995</v>
      </c>
      <c r="AB17" s="43">
        <v>2.4011999999999998</v>
      </c>
      <c r="AC17" s="41">
        <v>0.29519999999999996</v>
      </c>
      <c r="AD17" s="42">
        <v>0.34319999999999995</v>
      </c>
      <c r="AE17" s="43">
        <v>0.50729999999999997</v>
      </c>
    </row>
    <row r="18" spans="2:31">
      <c r="B18" s="40" t="s">
        <v>357</v>
      </c>
      <c r="C18" s="41">
        <v>9.4200000000000006E-2</v>
      </c>
      <c r="D18" s="42">
        <v>0.18359999999999999</v>
      </c>
      <c r="E18" s="42">
        <v>0.51870000000000005</v>
      </c>
      <c r="F18" s="42">
        <v>8.1600000000000006E-2</v>
      </c>
      <c r="G18" s="42">
        <v>0.39760000000000001</v>
      </c>
      <c r="H18" s="42">
        <v>8.1000000000000003E-2</v>
      </c>
      <c r="I18" s="42">
        <v>0.19320000000000001</v>
      </c>
      <c r="J18" s="42">
        <v>0.10800000000000001</v>
      </c>
      <c r="K18" s="42">
        <v>9.9900000000000003E-2</v>
      </c>
      <c r="L18" s="42">
        <v>0.19740000000000002</v>
      </c>
      <c r="M18" s="42">
        <v>0.44799999999999995</v>
      </c>
      <c r="N18" s="42">
        <v>0.27</v>
      </c>
      <c r="O18" s="42">
        <v>-3.1800000000000002E-2</v>
      </c>
      <c r="P18" s="42">
        <v>0.20159999999999997</v>
      </c>
      <c r="Q18" s="42">
        <v>-2.92E-2</v>
      </c>
      <c r="R18" s="42">
        <v>3.6299999999999999E-2</v>
      </c>
      <c r="S18" s="42">
        <v>9.5399999999999999E-2</v>
      </c>
      <c r="T18" s="42">
        <v>0.62250000000000005</v>
      </c>
      <c r="U18" s="42">
        <v>8.9800000000000005E-2</v>
      </c>
      <c r="V18" s="42">
        <v>8.9099999999999999E-2</v>
      </c>
      <c r="W18" s="42">
        <v>8.3999999999999991E-2</v>
      </c>
      <c r="X18" s="43">
        <v>8.8200000000000001E-2</v>
      </c>
      <c r="Y18" s="41">
        <v>0.1474</v>
      </c>
      <c r="Z18" s="42">
        <v>0.55549999999999999</v>
      </c>
      <c r="AA18" s="42">
        <v>0.26519999999999999</v>
      </c>
      <c r="AB18" s="43">
        <v>1.7342</v>
      </c>
      <c r="AC18" s="41">
        <v>9.8399999999999987E-2</v>
      </c>
      <c r="AD18" s="42">
        <v>0.14299999999999999</v>
      </c>
      <c r="AE18" s="43">
        <v>0.32039999999999996</v>
      </c>
    </row>
    <row r="19" spans="2:31">
      <c r="B19" s="40" t="s">
        <v>358</v>
      </c>
      <c r="C19" s="41">
        <v>9.4200000000000006E-2</v>
      </c>
      <c r="D19" s="42">
        <v>0.18359999999999999</v>
      </c>
      <c r="E19" s="42">
        <v>0.51870000000000005</v>
      </c>
      <c r="F19" s="42">
        <v>8.1600000000000006E-2</v>
      </c>
      <c r="G19" s="42">
        <v>0.39760000000000001</v>
      </c>
      <c r="H19" s="42">
        <v>8.1000000000000003E-2</v>
      </c>
      <c r="I19" s="42">
        <v>0.19320000000000001</v>
      </c>
      <c r="J19" s="42">
        <v>0.10800000000000001</v>
      </c>
      <c r="K19" s="42">
        <v>9.9900000000000003E-2</v>
      </c>
      <c r="L19" s="42">
        <v>0.19740000000000002</v>
      </c>
      <c r="M19" s="42">
        <v>0.44799999999999995</v>
      </c>
      <c r="N19" s="42">
        <v>0.27</v>
      </c>
      <c r="O19" s="42">
        <v>-3.1800000000000002E-2</v>
      </c>
      <c r="P19" s="42">
        <v>0.20159999999999997</v>
      </c>
      <c r="Q19" s="42">
        <v>-2.92E-2</v>
      </c>
      <c r="R19" s="42">
        <v>3.6299999999999999E-2</v>
      </c>
      <c r="S19" s="42">
        <v>9.5399999999999999E-2</v>
      </c>
      <c r="T19" s="42">
        <v>0.62250000000000005</v>
      </c>
      <c r="U19" s="42">
        <v>8.9800000000000005E-2</v>
      </c>
      <c r="V19" s="42">
        <v>8.9099999999999999E-2</v>
      </c>
      <c r="W19" s="42">
        <v>8.3999999999999991E-2</v>
      </c>
      <c r="X19" s="43">
        <v>8.8200000000000001E-2</v>
      </c>
      <c r="Y19" s="41">
        <v>0.1474</v>
      </c>
      <c r="Z19" s="42">
        <v>0.55549999999999999</v>
      </c>
      <c r="AA19" s="42">
        <v>0.26519999999999999</v>
      </c>
      <c r="AB19" s="43">
        <v>1.7342</v>
      </c>
      <c r="AC19" s="41">
        <v>9.8399999999999987E-2</v>
      </c>
      <c r="AD19" s="42">
        <v>0.14299999999999999</v>
      </c>
      <c r="AE19" s="43">
        <v>0.32039999999999996</v>
      </c>
    </row>
    <row r="20" spans="2:31">
      <c r="B20" s="40" t="s">
        <v>359</v>
      </c>
      <c r="C20" s="41">
        <v>0</v>
      </c>
      <c r="D20" s="42">
        <v>9.1799999999999993E-2</v>
      </c>
      <c r="E20" s="42">
        <v>0.43680000000000002</v>
      </c>
      <c r="F20" s="42">
        <v>0</v>
      </c>
      <c r="G20" s="42">
        <v>0.31240000000000001</v>
      </c>
      <c r="H20" s="42">
        <v>0</v>
      </c>
      <c r="I20" s="42">
        <v>0.1104</v>
      </c>
      <c r="J20" s="42">
        <v>2.7000000000000003E-2</v>
      </c>
      <c r="K20" s="42">
        <v>0</v>
      </c>
      <c r="L20" s="42">
        <v>0.1128</v>
      </c>
      <c r="M20" s="42">
        <v>0.36399999999999999</v>
      </c>
      <c r="N20" s="42">
        <v>0.18</v>
      </c>
      <c r="O20" s="42">
        <v>-0.12720000000000001</v>
      </c>
      <c r="P20" s="42">
        <v>0.10079999999999999</v>
      </c>
      <c r="Q20" s="42">
        <v>-0.1168</v>
      </c>
      <c r="R20" s="42">
        <v>-3.6299999999999999E-2</v>
      </c>
      <c r="S20" s="42">
        <v>0</v>
      </c>
      <c r="T20" s="42">
        <v>0.53950000000000009</v>
      </c>
      <c r="U20" s="42">
        <v>0</v>
      </c>
      <c r="V20" s="42">
        <v>0</v>
      </c>
      <c r="W20" s="42">
        <v>0</v>
      </c>
      <c r="X20" s="43">
        <v>0</v>
      </c>
      <c r="Y20" s="41">
        <v>0.1072</v>
      </c>
      <c r="Z20" s="42">
        <v>0.35350000000000004</v>
      </c>
      <c r="AA20" s="42">
        <v>0</v>
      </c>
      <c r="AB20" s="43">
        <v>1.4674</v>
      </c>
      <c r="AC20" s="41">
        <v>0</v>
      </c>
      <c r="AD20" s="42">
        <v>5.7200000000000001E-2</v>
      </c>
      <c r="AE20" s="43">
        <v>0.21360000000000001</v>
      </c>
    </row>
    <row r="21" spans="2:31">
      <c r="B21" s="40" t="s">
        <v>360</v>
      </c>
      <c r="C21" s="41">
        <v>3.0771999999999999</v>
      </c>
      <c r="D21" s="42">
        <v>2.8458000000000001</v>
      </c>
      <c r="E21" s="42">
        <v>1.8291000000000002</v>
      </c>
      <c r="F21" s="42">
        <v>2.2303999999999999</v>
      </c>
      <c r="G21" s="42">
        <v>2.1583999999999999</v>
      </c>
      <c r="H21" s="42">
        <v>2.214</v>
      </c>
      <c r="I21" s="42">
        <v>2.2079999999999997</v>
      </c>
      <c r="J21" s="42">
        <v>2.16</v>
      </c>
      <c r="K21" s="42">
        <v>3.4632000000000001</v>
      </c>
      <c r="L21" s="42">
        <v>2.3405999999999998</v>
      </c>
      <c r="M21" s="42">
        <v>2.044</v>
      </c>
      <c r="N21" s="42">
        <v>2.61</v>
      </c>
      <c r="O21" s="42">
        <v>3.2754000000000003</v>
      </c>
      <c r="P21" s="42">
        <v>2.9567999999999999</v>
      </c>
      <c r="Q21" s="42">
        <v>3.1536</v>
      </c>
      <c r="R21" s="42">
        <v>4.0293000000000001</v>
      </c>
      <c r="S21" s="42">
        <v>3.1482000000000001</v>
      </c>
      <c r="T21" s="42">
        <v>4.5650000000000004</v>
      </c>
      <c r="U21" s="42">
        <v>5.7921000000000005</v>
      </c>
      <c r="V21" s="42">
        <v>2.7324000000000002</v>
      </c>
      <c r="W21" s="42">
        <v>2.4079999999999999</v>
      </c>
      <c r="X21" s="43">
        <v>2.6754000000000002</v>
      </c>
      <c r="Y21" s="41">
        <v>1.0988</v>
      </c>
      <c r="Z21" s="42">
        <v>3.5349999999999997</v>
      </c>
      <c r="AA21" s="42">
        <v>4.7736000000000001</v>
      </c>
      <c r="AB21" s="43">
        <v>11.8726</v>
      </c>
      <c r="AC21" s="41">
        <v>3.3455999999999997</v>
      </c>
      <c r="AD21" s="42">
        <v>2.4596</v>
      </c>
      <c r="AE21" s="43">
        <v>1.9223999999999999</v>
      </c>
    </row>
    <row r="22" spans="2:31">
      <c r="B22" s="40" t="s">
        <v>361</v>
      </c>
      <c r="C22" s="41">
        <v>3.0771999999999999</v>
      </c>
      <c r="D22" s="42">
        <v>2.8458000000000001</v>
      </c>
      <c r="E22" s="42">
        <v>1.8291000000000002</v>
      </c>
      <c r="F22" s="42">
        <v>2.2303999999999999</v>
      </c>
      <c r="G22" s="42">
        <v>2.1583999999999999</v>
      </c>
      <c r="H22" s="42">
        <v>2.214</v>
      </c>
      <c r="I22" s="42">
        <v>2.2079999999999997</v>
      </c>
      <c r="J22" s="42">
        <v>2.16</v>
      </c>
      <c r="K22" s="42">
        <v>3.4632000000000001</v>
      </c>
      <c r="L22" s="42">
        <v>2.3405999999999998</v>
      </c>
      <c r="M22" s="42">
        <v>2.044</v>
      </c>
      <c r="N22" s="42">
        <v>2.61</v>
      </c>
      <c r="O22" s="42">
        <v>3.2754000000000003</v>
      </c>
      <c r="P22" s="42">
        <v>2.9567999999999999</v>
      </c>
      <c r="Q22" s="42">
        <v>3.1536</v>
      </c>
      <c r="R22" s="42">
        <v>4.0293000000000001</v>
      </c>
      <c r="S22" s="42">
        <v>3.1482000000000001</v>
      </c>
      <c r="T22" s="42">
        <v>4.5650000000000004</v>
      </c>
      <c r="U22" s="42">
        <v>5.7921000000000005</v>
      </c>
      <c r="V22" s="42">
        <v>2.7324000000000002</v>
      </c>
      <c r="W22" s="42">
        <v>2.4079999999999999</v>
      </c>
      <c r="X22" s="43">
        <v>2.6754000000000002</v>
      </c>
      <c r="Y22" s="41">
        <v>1.0988</v>
      </c>
      <c r="Z22" s="42">
        <v>3.5349999999999997</v>
      </c>
      <c r="AA22" s="42">
        <v>4.7736000000000001</v>
      </c>
      <c r="AB22" s="43">
        <v>11.8726</v>
      </c>
      <c r="AC22" s="41">
        <v>3.3455999999999997</v>
      </c>
      <c r="AD22" s="42">
        <v>2.4596</v>
      </c>
      <c r="AE22" s="43">
        <v>1.9223999999999999</v>
      </c>
    </row>
    <row r="23" spans="2:31">
      <c r="B23" s="40" t="s">
        <v>362</v>
      </c>
      <c r="C23" s="41">
        <v>2.8574000000000002</v>
      </c>
      <c r="D23" s="42">
        <v>2.5091999999999999</v>
      </c>
      <c r="E23" s="42">
        <v>1.1193</v>
      </c>
      <c r="F23" s="42">
        <v>1.9856</v>
      </c>
      <c r="G23" s="42">
        <v>1.4483999999999999</v>
      </c>
      <c r="H23" s="42">
        <v>1.4040000000000001</v>
      </c>
      <c r="I23" s="42">
        <v>1.8492</v>
      </c>
      <c r="J23" s="42">
        <v>1.9710000000000001</v>
      </c>
      <c r="K23" s="42">
        <v>3.1968000000000001</v>
      </c>
      <c r="L23" s="42">
        <v>1.833</v>
      </c>
      <c r="M23" s="42">
        <v>1.204</v>
      </c>
      <c r="N23" s="42">
        <v>2.61</v>
      </c>
      <c r="O23" s="42">
        <v>2.4168000000000003</v>
      </c>
      <c r="P23" s="42">
        <v>2.4527999999999999</v>
      </c>
      <c r="Q23" s="42">
        <v>2.7156000000000002</v>
      </c>
      <c r="R23" s="42">
        <v>3.4121999999999999</v>
      </c>
      <c r="S23" s="42">
        <v>2.5122000000000004</v>
      </c>
      <c r="T23" s="42">
        <v>4.1915000000000004</v>
      </c>
      <c r="U23" s="42">
        <v>5.7921000000000005</v>
      </c>
      <c r="V23" s="42">
        <v>2.7324000000000002</v>
      </c>
      <c r="W23" s="42">
        <v>2.3239999999999998</v>
      </c>
      <c r="X23" s="43">
        <v>2.6166</v>
      </c>
      <c r="Y23" s="41">
        <v>0.75040000000000007</v>
      </c>
      <c r="Z23" s="42">
        <v>3.5349999999999997</v>
      </c>
      <c r="AA23" s="42">
        <v>4.7736000000000001</v>
      </c>
      <c r="AB23" s="43">
        <v>11.8726</v>
      </c>
      <c r="AC23" s="41">
        <v>3.28</v>
      </c>
      <c r="AD23" s="42">
        <v>2.1736</v>
      </c>
      <c r="AE23" s="43">
        <v>1.3083</v>
      </c>
    </row>
    <row r="24" spans="2:31">
      <c r="B24" s="40" t="s">
        <v>363</v>
      </c>
      <c r="C24" s="41">
        <v>2.6061999999999999</v>
      </c>
      <c r="D24" s="42">
        <v>2.2644000000000002</v>
      </c>
      <c r="E24" s="42">
        <v>0.90090000000000003</v>
      </c>
      <c r="F24" s="42">
        <v>1.7408000000000001</v>
      </c>
      <c r="G24" s="42">
        <v>1.2211999999999998</v>
      </c>
      <c r="H24" s="42">
        <v>1.161</v>
      </c>
      <c r="I24" s="42">
        <v>1.6007999999999998</v>
      </c>
      <c r="J24" s="42">
        <v>1.7280000000000002</v>
      </c>
      <c r="K24" s="42">
        <v>2.9637000000000002</v>
      </c>
      <c r="L24" s="42">
        <v>1.6073999999999997</v>
      </c>
      <c r="M24" s="42">
        <v>0.95199999999999996</v>
      </c>
      <c r="N24" s="42">
        <v>2.37</v>
      </c>
      <c r="O24" s="42">
        <v>2.1624000000000003</v>
      </c>
      <c r="P24" s="42">
        <v>2.1840000000000002</v>
      </c>
      <c r="Q24" s="42">
        <v>2.4819999999999998</v>
      </c>
      <c r="R24" s="42">
        <v>3.1580999999999997</v>
      </c>
      <c r="S24" s="42">
        <v>2.2896000000000001</v>
      </c>
      <c r="T24" s="42">
        <v>3.9425000000000003</v>
      </c>
      <c r="U24" s="42">
        <v>5.5227000000000004</v>
      </c>
      <c r="V24" s="42">
        <v>2.4948000000000001</v>
      </c>
      <c r="W24" s="42">
        <v>2.0999999999999996</v>
      </c>
      <c r="X24" s="43">
        <v>2.3814000000000002</v>
      </c>
      <c r="Y24" s="41">
        <v>0.64319999999999999</v>
      </c>
      <c r="Z24" s="42">
        <v>3.03</v>
      </c>
      <c r="AA24" s="42">
        <v>4.1768999999999998</v>
      </c>
      <c r="AB24" s="43">
        <v>11.072199999999999</v>
      </c>
      <c r="AC24" s="41">
        <v>3.0175999999999998</v>
      </c>
      <c r="AD24" s="42">
        <v>1.9448000000000001</v>
      </c>
      <c r="AE24" s="43">
        <v>1.0680000000000001</v>
      </c>
    </row>
    <row r="25" spans="2:31">
      <c r="B25" s="40" t="s">
        <v>364</v>
      </c>
      <c r="C25" s="41">
        <v>2.8574000000000002</v>
      </c>
      <c r="D25" s="42">
        <v>2.601</v>
      </c>
      <c r="E25" s="42">
        <v>1.5833999999999999</v>
      </c>
      <c r="F25" s="42">
        <v>1.9856</v>
      </c>
      <c r="G25" s="42">
        <v>1.9312</v>
      </c>
      <c r="H25" s="42">
        <v>1.9710000000000001</v>
      </c>
      <c r="I25" s="42">
        <v>1.9595999999999998</v>
      </c>
      <c r="J25" s="42">
        <v>1.944</v>
      </c>
      <c r="K25" s="42">
        <v>3.2301000000000002</v>
      </c>
      <c r="L25" s="42">
        <v>2.0867999999999998</v>
      </c>
      <c r="M25" s="42">
        <v>1.7919999999999998</v>
      </c>
      <c r="N25" s="42">
        <v>2.37</v>
      </c>
      <c r="O25" s="42">
        <v>3.0209999999999999</v>
      </c>
      <c r="P25" s="42">
        <v>2.6880000000000002</v>
      </c>
      <c r="Q25" s="42">
        <v>2.9491999999999998</v>
      </c>
      <c r="R25" s="42">
        <v>3.8115000000000001</v>
      </c>
      <c r="S25" s="42">
        <v>2.9256000000000002</v>
      </c>
      <c r="T25" s="42">
        <v>4.3160000000000007</v>
      </c>
      <c r="U25" s="42">
        <v>5.5227000000000004</v>
      </c>
      <c r="V25" s="42">
        <v>2.4948000000000001</v>
      </c>
      <c r="W25" s="42">
        <v>2.1559999999999997</v>
      </c>
      <c r="X25" s="43">
        <v>2.4401999999999999</v>
      </c>
      <c r="Y25" s="41">
        <v>0.99160000000000004</v>
      </c>
      <c r="Z25" s="42">
        <v>3.03</v>
      </c>
      <c r="AA25" s="42">
        <v>4.1768999999999998</v>
      </c>
      <c r="AB25" s="43">
        <v>11.072199999999999</v>
      </c>
      <c r="AC25" s="41">
        <v>3.1159999999999997</v>
      </c>
      <c r="AD25" s="42">
        <v>2.2307999999999999</v>
      </c>
      <c r="AE25" s="43">
        <v>1.6820999999999999</v>
      </c>
    </row>
    <row r="26" spans="2:31">
      <c r="B26" s="40" t="s">
        <v>365</v>
      </c>
      <c r="C26" s="41">
        <v>2.8574000000000002</v>
      </c>
      <c r="D26" s="42">
        <v>2.601</v>
      </c>
      <c r="E26" s="42">
        <v>1.5833999999999999</v>
      </c>
      <c r="F26" s="42">
        <v>1.9856</v>
      </c>
      <c r="G26" s="42">
        <v>1.9312</v>
      </c>
      <c r="H26" s="42">
        <v>1.9710000000000001</v>
      </c>
      <c r="I26" s="42">
        <v>1.9595999999999998</v>
      </c>
      <c r="J26" s="42">
        <v>1.944</v>
      </c>
      <c r="K26" s="42">
        <v>3.2301000000000002</v>
      </c>
      <c r="L26" s="42">
        <v>2.0867999999999998</v>
      </c>
      <c r="M26" s="42">
        <v>1.7919999999999998</v>
      </c>
      <c r="N26" s="42">
        <v>2.37</v>
      </c>
      <c r="O26" s="42">
        <v>3.0209999999999999</v>
      </c>
      <c r="P26" s="42">
        <v>2.6880000000000002</v>
      </c>
      <c r="Q26" s="42">
        <v>2.9491999999999998</v>
      </c>
      <c r="R26" s="42">
        <v>3.8115000000000001</v>
      </c>
      <c r="S26" s="42">
        <v>2.9256000000000002</v>
      </c>
      <c r="T26" s="42">
        <v>4.3160000000000007</v>
      </c>
      <c r="U26" s="42">
        <v>5.5227000000000004</v>
      </c>
      <c r="V26" s="42">
        <v>2.4948000000000001</v>
      </c>
      <c r="W26" s="42">
        <v>2.1559999999999997</v>
      </c>
      <c r="X26" s="43">
        <v>2.4401999999999999</v>
      </c>
      <c r="Y26" s="41">
        <v>0.99160000000000004</v>
      </c>
      <c r="Z26" s="42">
        <v>3.03</v>
      </c>
      <c r="AA26" s="42">
        <v>4.1768999999999998</v>
      </c>
      <c r="AB26" s="43">
        <v>11.072199999999999</v>
      </c>
      <c r="AC26" s="41">
        <v>3.1159999999999997</v>
      </c>
      <c r="AD26" s="42">
        <v>2.2307999999999999</v>
      </c>
      <c r="AE26" s="43">
        <v>1.6820999999999999</v>
      </c>
    </row>
    <row r="27" spans="2:31">
      <c r="B27" s="40" t="s">
        <v>366</v>
      </c>
      <c r="C27" s="41">
        <v>3.0771999999999999</v>
      </c>
      <c r="D27" s="42">
        <v>2.9375999999999998</v>
      </c>
      <c r="E27" s="42">
        <v>2.2113</v>
      </c>
      <c r="F27" s="42">
        <v>2.2032000000000003</v>
      </c>
      <c r="G27" s="42">
        <v>2.556</v>
      </c>
      <c r="H27" s="42">
        <v>2.5649999999999999</v>
      </c>
      <c r="I27" s="42">
        <v>2.3459999999999996</v>
      </c>
      <c r="J27" s="42">
        <v>2.1330000000000005</v>
      </c>
      <c r="K27" s="42">
        <v>3.4965000000000002</v>
      </c>
      <c r="L27" s="42">
        <v>2.5943999999999998</v>
      </c>
      <c r="M27" s="42">
        <v>2.4359999999999999</v>
      </c>
      <c r="N27" s="42">
        <v>2.37</v>
      </c>
      <c r="O27" s="42">
        <v>3.657</v>
      </c>
      <c r="P27" s="42">
        <v>3.1583999999999999</v>
      </c>
      <c r="Q27" s="42">
        <v>3.4163999999999999</v>
      </c>
      <c r="R27" s="42">
        <v>4.4285999999999994</v>
      </c>
      <c r="S27" s="42">
        <v>3.5298000000000003</v>
      </c>
      <c r="T27" s="42">
        <v>4.6480000000000006</v>
      </c>
      <c r="U27" s="42">
        <v>5.5227000000000004</v>
      </c>
      <c r="V27" s="42">
        <v>2.4948000000000001</v>
      </c>
      <c r="W27" s="42">
        <v>2.2119999999999997</v>
      </c>
      <c r="X27" s="43">
        <v>2.4990000000000001</v>
      </c>
      <c r="Y27" s="41">
        <v>1.2864</v>
      </c>
      <c r="Z27" s="42">
        <v>3.03</v>
      </c>
      <c r="AA27" s="42">
        <v>4.1768999999999998</v>
      </c>
      <c r="AB27" s="43">
        <v>11.072199999999999</v>
      </c>
      <c r="AC27" s="41">
        <v>3.1815999999999995</v>
      </c>
      <c r="AD27" s="42">
        <v>2.4882</v>
      </c>
      <c r="AE27" s="43">
        <v>2.2961999999999998</v>
      </c>
    </row>
    <row r="28" spans="2:31">
      <c r="B28" s="40" t="s">
        <v>367</v>
      </c>
      <c r="C28" s="41">
        <v>0.40820000000000001</v>
      </c>
      <c r="D28" s="42">
        <v>0.30600000000000005</v>
      </c>
      <c r="E28" s="42">
        <v>0</v>
      </c>
      <c r="F28" s="42">
        <v>0.40800000000000003</v>
      </c>
      <c r="G28" s="42">
        <v>0</v>
      </c>
      <c r="H28" s="42">
        <v>2.7000000000000003E-2</v>
      </c>
      <c r="I28" s="42">
        <v>0.27599999999999997</v>
      </c>
      <c r="J28" s="42">
        <v>0.43200000000000005</v>
      </c>
      <c r="K28" s="42">
        <v>0.36630000000000001</v>
      </c>
      <c r="L28" s="42">
        <v>0.14099999999999999</v>
      </c>
      <c r="M28" s="42">
        <v>0</v>
      </c>
      <c r="N28" s="42">
        <v>0.63</v>
      </c>
      <c r="O28" s="42">
        <v>0</v>
      </c>
      <c r="P28" s="42">
        <v>0.23520000000000002</v>
      </c>
      <c r="Q28" s="42">
        <v>8.7599999999999997E-2</v>
      </c>
      <c r="R28" s="42">
        <v>0</v>
      </c>
      <c r="S28" s="42">
        <v>0</v>
      </c>
      <c r="T28" s="42">
        <v>0.29050000000000004</v>
      </c>
      <c r="U28" s="42">
        <v>0.62860000000000005</v>
      </c>
      <c r="V28" s="42">
        <v>0.62370000000000003</v>
      </c>
      <c r="W28" s="42">
        <v>0.55999999999999994</v>
      </c>
      <c r="X28" s="43">
        <v>0.58799999999999997</v>
      </c>
      <c r="Y28" s="41">
        <v>0</v>
      </c>
      <c r="Z28" s="42">
        <v>1.2625</v>
      </c>
      <c r="AA28" s="42">
        <v>1.5911999999999999</v>
      </c>
      <c r="AB28" s="43">
        <v>2.2678000000000003</v>
      </c>
      <c r="AC28" s="41">
        <v>0.55759999999999998</v>
      </c>
      <c r="AD28" s="42">
        <v>0.37180000000000002</v>
      </c>
      <c r="AE28" s="43">
        <v>0</v>
      </c>
    </row>
    <row r="29" spans="2:31">
      <c r="B29" s="40" t="s">
        <v>368</v>
      </c>
      <c r="C29" s="41">
        <v>0</v>
      </c>
      <c r="D29" s="42">
        <v>0</v>
      </c>
      <c r="E29" s="42">
        <v>5.4600000000000003E-2</v>
      </c>
      <c r="F29" s="42">
        <v>0</v>
      </c>
      <c r="G29" s="42">
        <v>8.5199999999999998E-2</v>
      </c>
      <c r="H29" s="42">
        <v>0.21600000000000003</v>
      </c>
      <c r="I29" s="42">
        <v>0</v>
      </c>
      <c r="J29" s="42">
        <v>0</v>
      </c>
      <c r="K29" s="42">
        <v>0</v>
      </c>
      <c r="L29" s="42">
        <v>0</v>
      </c>
      <c r="M29" s="42">
        <v>0.19600000000000001</v>
      </c>
      <c r="N29" s="42">
        <v>0</v>
      </c>
      <c r="O29" s="42">
        <v>0.22260000000000002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3">
        <v>0</v>
      </c>
      <c r="Y29" s="41">
        <v>5.3600000000000002E-2</v>
      </c>
      <c r="Z29" s="42">
        <v>0</v>
      </c>
      <c r="AA29" s="42">
        <v>0</v>
      </c>
      <c r="AB29" s="43">
        <v>0</v>
      </c>
      <c r="AC29" s="41">
        <v>0</v>
      </c>
      <c r="AD29" s="42">
        <v>0</v>
      </c>
      <c r="AE29" s="43">
        <v>0</v>
      </c>
    </row>
    <row r="30" spans="2:31">
      <c r="B30" s="40" t="s">
        <v>369</v>
      </c>
      <c r="C30" s="41">
        <v>0.21980000000000002</v>
      </c>
      <c r="D30" s="42">
        <v>0.33660000000000001</v>
      </c>
      <c r="E30" s="42">
        <v>0.6825</v>
      </c>
      <c r="F30" s="42">
        <v>0.21760000000000002</v>
      </c>
      <c r="G30" s="42">
        <v>0.71</v>
      </c>
      <c r="H30" s="42">
        <v>0.81</v>
      </c>
      <c r="I30" s="42">
        <v>0.35880000000000001</v>
      </c>
      <c r="J30" s="42">
        <v>0.18900000000000003</v>
      </c>
      <c r="K30" s="42">
        <v>0.26640000000000003</v>
      </c>
      <c r="L30" s="42">
        <v>0.50759999999999994</v>
      </c>
      <c r="M30" s="42">
        <v>0.84</v>
      </c>
      <c r="N30" s="42">
        <v>0</v>
      </c>
      <c r="O30" s="42">
        <v>0.85860000000000014</v>
      </c>
      <c r="P30" s="42">
        <v>0.504</v>
      </c>
      <c r="Q30" s="42">
        <v>0.4672</v>
      </c>
      <c r="R30" s="42">
        <v>0.61709999999999998</v>
      </c>
      <c r="S30" s="42">
        <v>0.63600000000000012</v>
      </c>
      <c r="T30" s="42">
        <v>0.33200000000000002</v>
      </c>
      <c r="U30" s="42">
        <v>0</v>
      </c>
      <c r="V30" s="42">
        <v>0</v>
      </c>
      <c r="W30" s="42">
        <v>5.5999999999999994E-2</v>
      </c>
      <c r="X30" s="43">
        <v>5.8799999999999998E-2</v>
      </c>
      <c r="Y30" s="41">
        <v>0.34840000000000004</v>
      </c>
      <c r="Z30" s="42" t="s">
        <v>347</v>
      </c>
      <c r="AA30" s="42" t="s">
        <v>347</v>
      </c>
      <c r="AB30" s="43" t="s">
        <v>347</v>
      </c>
      <c r="AC30" s="41">
        <v>6.5599999999999992E-2</v>
      </c>
      <c r="AD30" s="42">
        <v>0.28599999999999998</v>
      </c>
      <c r="AE30" s="43">
        <v>0.61409999999999998</v>
      </c>
    </row>
    <row r="31" spans="2:31">
      <c r="B31" s="40" t="s">
        <v>370</v>
      </c>
      <c r="C31" s="41">
        <v>0.21980000000000002</v>
      </c>
      <c r="D31" s="42">
        <v>0.33660000000000001</v>
      </c>
      <c r="E31" s="42">
        <v>0.6825</v>
      </c>
      <c r="F31" s="42">
        <v>0.21760000000000002</v>
      </c>
      <c r="G31" s="42">
        <v>0.71</v>
      </c>
      <c r="H31" s="42">
        <v>0.81</v>
      </c>
      <c r="I31" s="42">
        <v>0.35880000000000001</v>
      </c>
      <c r="J31" s="42">
        <v>0.18900000000000003</v>
      </c>
      <c r="K31" s="42">
        <v>0.26640000000000003</v>
      </c>
      <c r="L31" s="42">
        <v>0.50759999999999994</v>
      </c>
      <c r="M31" s="42">
        <v>0.84</v>
      </c>
      <c r="N31" s="42">
        <v>0</v>
      </c>
      <c r="O31" s="42">
        <v>0.85860000000000014</v>
      </c>
      <c r="P31" s="42">
        <v>0.504</v>
      </c>
      <c r="Q31" s="42">
        <v>0.4672</v>
      </c>
      <c r="R31" s="42">
        <v>0.61709999999999998</v>
      </c>
      <c r="S31" s="42">
        <v>0.63600000000000012</v>
      </c>
      <c r="T31" s="42">
        <v>0.33200000000000002</v>
      </c>
      <c r="U31" s="42">
        <v>0</v>
      </c>
      <c r="V31" s="42">
        <v>0</v>
      </c>
      <c r="W31" s="42">
        <v>5.5999999999999994E-2</v>
      </c>
      <c r="X31" s="43">
        <v>5.8799999999999998E-2</v>
      </c>
      <c r="Y31" s="41">
        <v>0.34840000000000004</v>
      </c>
      <c r="Z31" s="42" t="s">
        <v>347</v>
      </c>
      <c r="AA31" s="42" t="s">
        <v>347</v>
      </c>
      <c r="AB31" s="43" t="s">
        <v>347</v>
      </c>
      <c r="AC31" s="41">
        <v>6.5599999999999992E-2</v>
      </c>
      <c r="AD31" s="42">
        <v>0.28599999999999998</v>
      </c>
      <c r="AE31" s="43">
        <v>0.61409999999999998</v>
      </c>
    </row>
    <row r="32" spans="2:31">
      <c r="B32" s="40" t="s">
        <v>371</v>
      </c>
      <c r="C32" s="41" t="s">
        <v>347</v>
      </c>
      <c r="D32" s="42" t="s">
        <v>347</v>
      </c>
      <c r="E32" s="42">
        <v>1.0101</v>
      </c>
      <c r="F32" s="42" t="s">
        <v>347</v>
      </c>
      <c r="G32" s="42" t="s">
        <v>347</v>
      </c>
      <c r="H32" s="42" t="s">
        <v>347</v>
      </c>
      <c r="I32" s="42" t="s">
        <v>347</v>
      </c>
      <c r="J32" s="42" t="s">
        <v>347</v>
      </c>
      <c r="K32" s="42" t="s">
        <v>347</v>
      </c>
      <c r="L32" s="42" t="s">
        <v>347</v>
      </c>
      <c r="M32" s="42" t="s">
        <v>347</v>
      </c>
      <c r="N32" s="42" t="s">
        <v>347</v>
      </c>
      <c r="O32" s="42" t="s">
        <v>347</v>
      </c>
      <c r="P32" s="42">
        <v>0</v>
      </c>
      <c r="Q32" s="42">
        <v>0</v>
      </c>
      <c r="R32" s="42">
        <v>0</v>
      </c>
      <c r="S32" s="42">
        <v>0.63600000000000012</v>
      </c>
      <c r="T32" s="42" t="s">
        <v>347</v>
      </c>
      <c r="U32" s="42">
        <v>0.5837</v>
      </c>
      <c r="V32" s="42" t="s">
        <v>347</v>
      </c>
      <c r="W32" s="42" t="s">
        <v>347</v>
      </c>
      <c r="X32" s="43" t="s">
        <v>347</v>
      </c>
      <c r="Y32" s="41" t="s">
        <v>347</v>
      </c>
      <c r="Z32" s="42" t="s">
        <v>347</v>
      </c>
      <c r="AA32" s="42" t="s">
        <v>347</v>
      </c>
      <c r="AB32" s="43" t="s">
        <v>347</v>
      </c>
      <c r="AC32" s="41" t="s">
        <v>347</v>
      </c>
      <c r="AD32" s="42" t="s">
        <v>347</v>
      </c>
      <c r="AE32" s="43" t="s">
        <v>347</v>
      </c>
    </row>
    <row r="33" spans="2:31">
      <c r="B33" s="40" t="s">
        <v>372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3">
        <v>0</v>
      </c>
      <c r="Y33" s="41">
        <v>0</v>
      </c>
      <c r="Z33" s="42">
        <v>0</v>
      </c>
      <c r="AA33" s="42">
        <v>0.46410000000000001</v>
      </c>
      <c r="AB33" s="43">
        <v>1.8676000000000001</v>
      </c>
      <c r="AC33" s="41">
        <v>0</v>
      </c>
      <c r="AD33" s="42">
        <v>0</v>
      </c>
      <c r="AE33" s="43">
        <v>0</v>
      </c>
    </row>
    <row r="34" spans="2:31">
      <c r="B34" s="40" t="s">
        <v>373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3">
        <v>0</v>
      </c>
      <c r="Y34" s="41">
        <v>0</v>
      </c>
      <c r="Z34" s="42">
        <v>0</v>
      </c>
      <c r="AA34" s="42">
        <v>0</v>
      </c>
      <c r="AB34" s="43">
        <v>0</v>
      </c>
      <c r="AC34" s="41">
        <v>0</v>
      </c>
      <c r="AD34" s="42">
        <v>0</v>
      </c>
      <c r="AE34" s="43">
        <v>0</v>
      </c>
    </row>
    <row r="35" spans="2:31">
      <c r="B35" s="40" t="s">
        <v>374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7.2599999999999998E-2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3">
        <v>0</v>
      </c>
      <c r="Y35" s="41">
        <v>0</v>
      </c>
      <c r="Z35" s="42">
        <v>0</v>
      </c>
      <c r="AA35" s="42">
        <v>0.1326</v>
      </c>
      <c r="AB35" s="43">
        <v>0.13339999999999999</v>
      </c>
      <c r="AC35" s="41">
        <v>0</v>
      </c>
      <c r="AD35" s="42">
        <v>0</v>
      </c>
      <c r="AE35" s="43">
        <v>0</v>
      </c>
    </row>
    <row r="36" spans="2:31">
      <c r="B36" s="40" t="s">
        <v>375</v>
      </c>
      <c r="C36" s="41">
        <v>3.1400000000000004E-2</v>
      </c>
      <c r="D36" s="42">
        <v>3.0600000000000002E-2</v>
      </c>
      <c r="E36" s="42">
        <v>5.4600000000000003E-2</v>
      </c>
      <c r="F36" s="42">
        <v>5.4400000000000004E-2</v>
      </c>
      <c r="G36" s="42">
        <v>5.6799999999999996E-2</v>
      </c>
      <c r="H36" s="42">
        <v>5.4000000000000006E-2</v>
      </c>
      <c r="I36" s="42">
        <v>5.5199999999999999E-2</v>
      </c>
      <c r="J36" s="42">
        <v>5.4000000000000006E-2</v>
      </c>
      <c r="K36" s="42">
        <v>3.3300000000000003E-2</v>
      </c>
      <c r="L36" s="42">
        <v>5.6399999999999999E-2</v>
      </c>
      <c r="M36" s="42">
        <v>5.5999999999999994E-2</v>
      </c>
      <c r="N36" s="42">
        <v>0.06</v>
      </c>
      <c r="O36" s="42">
        <v>3.1800000000000002E-2</v>
      </c>
      <c r="P36" s="42">
        <v>6.7199999999999996E-2</v>
      </c>
      <c r="Q36" s="42">
        <v>2.92E-2</v>
      </c>
      <c r="R36" s="42">
        <v>3.6299999999999999E-2</v>
      </c>
      <c r="S36" s="42">
        <v>3.1800000000000002E-2</v>
      </c>
      <c r="T36" s="42">
        <v>4.1500000000000002E-2</v>
      </c>
      <c r="U36" s="42">
        <v>4.4900000000000002E-2</v>
      </c>
      <c r="V36" s="42">
        <v>5.9400000000000008E-2</v>
      </c>
      <c r="W36" s="42">
        <v>5.5999999999999994E-2</v>
      </c>
      <c r="X36" s="43">
        <v>5.8799999999999998E-2</v>
      </c>
      <c r="Y36" s="41">
        <v>2.6800000000000001E-2</v>
      </c>
      <c r="Z36" s="42">
        <v>0.10099999999999999</v>
      </c>
      <c r="AA36" s="42">
        <v>0.1326</v>
      </c>
      <c r="AB36" s="43">
        <v>0.13339999999999999</v>
      </c>
      <c r="AC36" s="41">
        <v>3.2799999999999996E-2</v>
      </c>
      <c r="AD36" s="42">
        <v>5.7200000000000001E-2</v>
      </c>
      <c r="AE36" s="43">
        <v>5.3400000000000003E-2</v>
      </c>
    </row>
    <row r="37" spans="2:31">
      <c r="B37" s="40" t="s">
        <v>376</v>
      </c>
      <c r="C37" s="41">
        <v>3.1400000000000004E-2</v>
      </c>
      <c r="D37" s="42">
        <v>3.0600000000000002E-2</v>
      </c>
      <c r="E37" s="42">
        <v>2.7300000000000001E-2</v>
      </c>
      <c r="F37" s="42">
        <v>2.7200000000000002E-2</v>
      </c>
      <c r="G37" s="42">
        <v>2.8399999999999998E-2</v>
      </c>
      <c r="H37" s="42">
        <v>2.7000000000000003E-2</v>
      </c>
      <c r="I37" s="42">
        <v>2.76E-2</v>
      </c>
      <c r="J37" s="42">
        <v>2.7000000000000003E-2</v>
      </c>
      <c r="K37" s="42">
        <v>3.3300000000000003E-2</v>
      </c>
      <c r="L37" s="42">
        <v>2.8199999999999999E-2</v>
      </c>
      <c r="M37" s="42">
        <v>2.7999999999999997E-2</v>
      </c>
      <c r="N37" s="42">
        <v>0.03</v>
      </c>
      <c r="O37" s="42">
        <v>3.1800000000000002E-2</v>
      </c>
      <c r="P37" s="42">
        <v>3.3599999999999998E-2</v>
      </c>
      <c r="Q37" s="42">
        <v>2.92E-2</v>
      </c>
      <c r="R37" s="42">
        <v>3.6299999999999999E-2</v>
      </c>
      <c r="S37" s="42">
        <v>3.1800000000000002E-2</v>
      </c>
      <c r="T37" s="42">
        <v>4.1500000000000002E-2</v>
      </c>
      <c r="U37" s="42">
        <v>4.4900000000000002E-2</v>
      </c>
      <c r="V37" s="42">
        <v>2.9700000000000004E-2</v>
      </c>
      <c r="W37" s="42">
        <v>2.7999999999999997E-2</v>
      </c>
      <c r="X37" s="43">
        <v>2.9399999999999999E-2</v>
      </c>
      <c r="Y37" s="41">
        <v>1.34E-2</v>
      </c>
      <c r="Z37" s="42">
        <v>5.0499999999999996E-2</v>
      </c>
      <c r="AA37" s="42">
        <v>6.6299999999999998E-2</v>
      </c>
      <c r="AB37" s="43">
        <v>0.13339999999999999</v>
      </c>
      <c r="AC37" s="41">
        <v>3.2799999999999996E-2</v>
      </c>
      <c r="AD37" s="42">
        <v>2.86E-2</v>
      </c>
      <c r="AE37" s="43">
        <v>2.6700000000000002E-2</v>
      </c>
    </row>
    <row r="38" spans="2:31">
      <c r="B38" s="40" t="s">
        <v>377</v>
      </c>
      <c r="C38" s="41">
        <v>0.18840000000000001</v>
      </c>
      <c r="D38" s="42">
        <v>0.18359999999999999</v>
      </c>
      <c r="E38" s="42">
        <v>0.19110000000000002</v>
      </c>
      <c r="F38" s="42">
        <v>0.19040000000000004</v>
      </c>
      <c r="G38" s="42">
        <v>0.1988</v>
      </c>
      <c r="H38" s="42">
        <v>0.18900000000000003</v>
      </c>
      <c r="I38" s="42">
        <v>0.19320000000000001</v>
      </c>
      <c r="J38" s="42">
        <v>0.18900000000000003</v>
      </c>
      <c r="K38" s="42">
        <v>0.19980000000000001</v>
      </c>
      <c r="L38" s="42">
        <v>0.19740000000000002</v>
      </c>
      <c r="M38" s="42">
        <v>0.19600000000000001</v>
      </c>
      <c r="N38" s="42">
        <v>0.21000000000000002</v>
      </c>
      <c r="O38" s="42">
        <v>0.1908</v>
      </c>
      <c r="P38" s="42">
        <v>0.23520000000000002</v>
      </c>
      <c r="Q38" s="42">
        <v>0.17519999999999999</v>
      </c>
      <c r="R38" s="42">
        <v>0.18149999999999999</v>
      </c>
      <c r="S38" s="42">
        <v>0.1908</v>
      </c>
      <c r="T38" s="42">
        <v>0.20750000000000002</v>
      </c>
      <c r="U38" s="42">
        <v>0.17960000000000001</v>
      </c>
      <c r="V38" s="42">
        <v>0.20790000000000003</v>
      </c>
      <c r="W38" s="42">
        <v>0.19600000000000001</v>
      </c>
      <c r="X38" s="43">
        <v>0.20580000000000001</v>
      </c>
      <c r="Y38" s="41">
        <v>9.3800000000000008E-2</v>
      </c>
      <c r="Z38" s="42">
        <v>0.40399999999999997</v>
      </c>
      <c r="AA38" s="42">
        <v>0.46410000000000001</v>
      </c>
      <c r="AB38" s="43">
        <v>0.66700000000000004</v>
      </c>
      <c r="AC38" s="41">
        <v>0.19679999999999997</v>
      </c>
      <c r="AD38" s="42">
        <v>0.20020000000000002</v>
      </c>
      <c r="AE38" s="43">
        <v>0.18690000000000001</v>
      </c>
    </row>
    <row r="39" spans="2:31">
      <c r="B39" s="40" t="s">
        <v>378</v>
      </c>
      <c r="C39" s="41">
        <v>9.4200000000000006E-2</v>
      </c>
      <c r="D39" s="42">
        <v>9.1799999999999993E-2</v>
      </c>
      <c r="E39" s="42">
        <v>8.1900000000000001E-2</v>
      </c>
      <c r="F39" s="42">
        <v>8.1600000000000006E-2</v>
      </c>
      <c r="G39" s="42">
        <v>8.5199999999999998E-2</v>
      </c>
      <c r="H39" s="42">
        <v>8.1000000000000003E-2</v>
      </c>
      <c r="I39" s="42">
        <v>8.2799999999999985E-2</v>
      </c>
      <c r="J39" s="42">
        <v>8.1000000000000003E-2</v>
      </c>
      <c r="K39" s="42">
        <v>9.9900000000000003E-2</v>
      </c>
      <c r="L39" s="42">
        <v>8.4599999999999995E-2</v>
      </c>
      <c r="M39" s="42">
        <v>8.3999999999999991E-2</v>
      </c>
      <c r="N39" s="42">
        <v>0.09</v>
      </c>
      <c r="O39" s="42">
        <v>9.5399999999999999E-2</v>
      </c>
      <c r="P39" s="42">
        <v>0.10079999999999999</v>
      </c>
      <c r="Q39" s="42">
        <v>8.7599999999999997E-2</v>
      </c>
      <c r="R39" s="42">
        <v>7.2599999999999998E-2</v>
      </c>
      <c r="S39" s="42">
        <v>9.5399999999999999E-2</v>
      </c>
      <c r="T39" s="42">
        <v>8.3000000000000004E-2</v>
      </c>
      <c r="U39" s="42">
        <v>8.9800000000000005E-2</v>
      </c>
      <c r="V39" s="42">
        <v>8.9099999999999999E-2</v>
      </c>
      <c r="W39" s="42">
        <v>8.3999999999999991E-2</v>
      </c>
      <c r="X39" s="43">
        <v>8.8200000000000001E-2</v>
      </c>
      <c r="Y39" s="41">
        <v>4.02E-2</v>
      </c>
      <c r="Z39" s="42">
        <v>0.1515</v>
      </c>
      <c r="AA39" s="42">
        <v>0.19889999999999999</v>
      </c>
      <c r="AB39" s="43">
        <v>0.26679999999999998</v>
      </c>
      <c r="AC39" s="41">
        <v>9.8399999999999987E-2</v>
      </c>
      <c r="AD39" s="42">
        <v>8.5799999999999987E-2</v>
      </c>
      <c r="AE39" s="43">
        <v>8.0099999999999991E-2</v>
      </c>
    </row>
    <row r="40" spans="2:31">
      <c r="B40" s="40" t="s">
        <v>379</v>
      </c>
      <c r="C40" s="41">
        <v>3.1400000000000004E-2</v>
      </c>
      <c r="D40" s="42">
        <v>3.0600000000000002E-2</v>
      </c>
      <c r="E40" s="42">
        <v>2.7300000000000001E-2</v>
      </c>
      <c r="F40" s="42">
        <v>2.7200000000000002E-2</v>
      </c>
      <c r="G40" s="42">
        <v>2.8399999999999998E-2</v>
      </c>
      <c r="H40" s="42">
        <v>2.7000000000000003E-2</v>
      </c>
      <c r="I40" s="42">
        <v>2.76E-2</v>
      </c>
      <c r="J40" s="42">
        <v>2.7000000000000003E-2</v>
      </c>
      <c r="K40" s="42">
        <v>3.3300000000000003E-2</v>
      </c>
      <c r="L40" s="42">
        <v>2.8199999999999999E-2</v>
      </c>
      <c r="M40" s="42">
        <v>2.7999999999999997E-2</v>
      </c>
      <c r="N40" s="42">
        <v>0.03</v>
      </c>
      <c r="O40" s="42">
        <v>3.1800000000000002E-2</v>
      </c>
      <c r="P40" s="42">
        <v>3.3599999999999998E-2</v>
      </c>
      <c r="Q40" s="42">
        <v>2.92E-2</v>
      </c>
      <c r="R40" s="42">
        <v>3.6299999999999999E-2</v>
      </c>
      <c r="S40" s="42">
        <v>3.1800000000000002E-2</v>
      </c>
      <c r="T40" s="42">
        <v>4.1500000000000002E-2</v>
      </c>
      <c r="U40" s="42">
        <v>4.4900000000000002E-2</v>
      </c>
      <c r="V40" s="42">
        <v>2.9700000000000004E-2</v>
      </c>
      <c r="W40" s="42">
        <v>2.7999999999999997E-2</v>
      </c>
      <c r="X40" s="43">
        <v>2.9399999999999999E-2</v>
      </c>
      <c r="Y40" s="41">
        <v>1.34E-2</v>
      </c>
      <c r="Z40" s="42">
        <v>5.0499999999999996E-2</v>
      </c>
      <c r="AA40" s="42">
        <v>6.6299999999999998E-2</v>
      </c>
      <c r="AB40" s="43">
        <v>0.13339999999999999</v>
      </c>
      <c r="AC40" s="41">
        <v>3.2799999999999996E-2</v>
      </c>
      <c r="AD40" s="42">
        <v>2.86E-2</v>
      </c>
      <c r="AE40" s="43">
        <v>2.6700000000000002E-2</v>
      </c>
    </row>
    <row r="41" spans="2:31">
      <c r="B41" s="40" t="s">
        <v>380</v>
      </c>
      <c r="C41" s="41">
        <v>0.28260000000000002</v>
      </c>
      <c r="D41" s="42">
        <v>0.30600000000000005</v>
      </c>
      <c r="E41" s="42">
        <v>0.30030000000000001</v>
      </c>
      <c r="F41" s="42">
        <v>0.29920000000000002</v>
      </c>
      <c r="G41" s="42">
        <v>0.31240000000000001</v>
      </c>
      <c r="H41" s="42">
        <v>0.29700000000000004</v>
      </c>
      <c r="I41" s="42">
        <v>0.30359999999999998</v>
      </c>
      <c r="J41" s="42">
        <v>0.29700000000000004</v>
      </c>
      <c r="K41" s="42">
        <v>0.29970000000000002</v>
      </c>
      <c r="L41" s="42">
        <v>0.31019999999999998</v>
      </c>
      <c r="M41" s="42">
        <v>0.308</v>
      </c>
      <c r="N41" s="42">
        <v>0.30000000000000004</v>
      </c>
      <c r="O41" s="42">
        <v>0.28620000000000001</v>
      </c>
      <c r="P41" s="42">
        <v>0.33600000000000002</v>
      </c>
      <c r="Q41" s="42">
        <v>0.26279999999999998</v>
      </c>
      <c r="R41" s="42">
        <v>0.29039999999999999</v>
      </c>
      <c r="S41" s="42">
        <v>0.28620000000000001</v>
      </c>
      <c r="T41" s="42">
        <v>0.29050000000000004</v>
      </c>
      <c r="U41" s="42">
        <v>0.31430000000000002</v>
      </c>
      <c r="V41" s="42">
        <v>0.29700000000000004</v>
      </c>
      <c r="W41" s="42">
        <v>0.308</v>
      </c>
      <c r="X41" s="43">
        <v>0.29399999999999998</v>
      </c>
      <c r="Y41" s="41">
        <v>0.13400000000000001</v>
      </c>
      <c r="Z41" s="42">
        <v>0.55549999999999999</v>
      </c>
      <c r="AA41" s="42">
        <v>0.72929999999999995</v>
      </c>
      <c r="AB41" s="43">
        <v>1.0671999999999999</v>
      </c>
      <c r="AC41" s="41">
        <v>0.29519999999999996</v>
      </c>
      <c r="AD41" s="42">
        <v>0.28599999999999998</v>
      </c>
      <c r="AE41" s="43">
        <v>0.29370000000000002</v>
      </c>
    </row>
    <row r="42" spans="2:31">
      <c r="B42" s="40" t="s">
        <v>381</v>
      </c>
      <c r="C42" s="41">
        <v>9.4200000000000006E-2</v>
      </c>
      <c r="D42" s="42">
        <v>0.12240000000000001</v>
      </c>
      <c r="E42" s="42">
        <v>0.10920000000000001</v>
      </c>
      <c r="F42" s="42">
        <v>0.10880000000000001</v>
      </c>
      <c r="G42" s="42">
        <v>0.11359999999999999</v>
      </c>
      <c r="H42" s="42">
        <v>0.10800000000000001</v>
      </c>
      <c r="I42" s="42">
        <v>0.1104</v>
      </c>
      <c r="J42" s="42">
        <v>0.10800000000000001</v>
      </c>
      <c r="K42" s="42">
        <v>9.9900000000000003E-2</v>
      </c>
      <c r="L42" s="42">
        <v>0.1128</v>
      </c>
      <c r="M42" s="42">
        <v>0.11199999999999999</v>
      </c>
      <c r="N42" s="42">
        <v>0.12</v>
      </c>
      <c r="O42" s="42">
        <v>9.5399999999999999E-2</v>
      </c>
      <c r="P42" s="42">
        <v>0.13439999999999999</v>
      </c>
      <c r="Q42" s="42">
        <v>8.7599999999999997E-2</v>
      </c>
      <c r="R42" s="42">
        <v>0.1089</v>
      </c>
      <c r="S42" s="42">
        <v>9.5399999999999999E-2</v>
      </c>
      <c r="T42" s="42">
        <v>0.1245</v>
      </c>
      <c r="U42" s="42">
        <v>8.9800000000000005E-2</v>
      </c>
      <c r="V42" s="42">
        <v>0.11880000000000002</v>
      </c>
      <c r="W42" s="42">
        <v>0.11199999999999999</v>
      </c>
      <c r="X42" s="43">
        <v>0.1176</v>
      </c>
      <c r="Y42" s="41">
        <v>5.3600000000000002E-2</v>
      </c>
      <c r="Z42" s="42">
        <v>0.20199999999999999</v>
      </c>
      <c r="AA42" s="42">
        <v>0.26519999999999999</v>
      </c>
      <c r="AB42" s="43">
        <v>0.4002</v>
      </c>
      <c r="AC42" s="41">
        <v>9.8399999999999987E-2</v>
      </c>
      <c r="AD42" s="42">
        <v>0.1144</v>
      </c>
      <c r="AE42" s="43">
        <v>0.10680000000000001</v>
      </c>
    </row>
    <row r="43" spans="2:31">
      <c r="B43" s="40" t="s">
        <v>382</v>
      </c>
      <c r="C43" s="41">
        <v>0.59660000000000002</v>
      </c>
      <c r="D43" s="42">
        <v>0.6120000000000001</v>
      </c>
      <c r="E43" s="42">
        <v>0.60060000000000002</v>
      </c>
      <c r="F43" s="42">
        <v>0.62560000000000004</v>
      </c>
      <c r="G43" s="42">
        <v>0.62480000000000002</v>
      </c>
      <c r="H43" s="42">
        <v>0.62100000000000011</v>
      </c>
      <c r="I43" s="42">
        <v>0.60719999999999996</v>
      </c>
      <c r="J43" s="42">
        <v>0.62100000000000011</v>
      </c>
      <c r="K43" s="42">
        <v>0.59940000000000004</v>
      </c>
      <c r="L43" s="42">
        <v>0.62039999999999995</v>
      </c>
      <c r="M43" s="42">
        <v>0.61599999999999999</v>
      </c>
      <c r="N43" s="42">
        <v>0.60000000000000009</v>
      </c>
      <c r="O43" s="42">
        <v>0.60420000000000007</v>
      </c>
      <c r="P43" s="42">
        <v>0.70559999999999989</v>
      </c>
      <c r="Q43" s="42">
        <v>0.52559999999999996</v>
      </c>
      <c r="R43" s="42">
        <v>0.61709999999999998</v>
      </c>
      <c r="S43" s="42">
        <v>0.60420000000000007</v>
      </c>
      <c r="T43" s="42">
        <v>0.62250000000000005</v>
      </c>
      <c r="U43" s="42">
        <v>0.62860000000000005</v>
      </c>
      <c r="V43" s="42">
        <v>0.62370000000000003</v>
      </c>
      <c r="W43" s="42">
        <v>0.61599999999999999</v>
      </c>
      <c r="X43" s="43">
        <v>0.61739999999999995</v>
      </c>
      <c r="Y43" s="41">
        <v>0.28139999999999998</v>
      </c>
      <c r="Z43" s="42">
        <v>1.212</v>
      </c>
      <c r="AA43" s="42">
        <v>1.5249000000000001</v>
      </c>
      <c r="AB43" s="43">
        <v>2.1343999999999999</v>
      </c>
      <c r="AC43" s="41">
        <v>0.62319999999999998</v>
      </c>
      <c r="AD43" s="42">
        <v>0.60059999999999991</v>
      </c>
      <c r="AE43" s="43">
        <v>0.61409999999999998</v>
      </c>
    </row>
    <row r="44" spans="2:31">
      <c r="B44" s="40" t="s">
        <v>383</v>
      </c>
      <c r="C44" s="41">
        <v>0.81640000000000001</v>
      </c>
      <c r="D44" s="42">
        <v>0.82620000000000005</v>
      </c>
      <c r="E44" s="42">
        <v>0.81899999999999995</v>
      </c>
      <c r="F44" s="42">
        <v>0.81600000000000006</v>
      </c>
      <c r="G44" s="42">
        <v>0.82359999999999989</v>
      </c>
      <c r="H44" s="42">
        <v>0.81</v>
      </c>
      <c r="I44" s="42">
        <v>0.82799999999999996</v>
      </c>
      <c r="J44" s="42">
        <v>0.81</v>
      </c>
      <c r="K44" s="42">
        <v>0.83250000000000002</v>
      </c>
      <c r="L44" s="42">
        <v>0.81779999999999986</v>
      </c>
      <c r="M44" s="42">
        <v>0.81199999999999994</v>
      </c>
      <c r="N44" s="42">
        <v>0.81</v>
      </c>
      <c r="O44" s="42">
        <v>0.82680000000000009</v>
      </c>
      <c r="P44" s="42">
        <v>0.94080000000000008</v>
      </c>
      <c r="Q44" s="42">
        <v>0.70079999999999998</v>
      </c>
      <c r="R44" s="42">
        <v>0.83489999999999998</v>
      </c>
      <c r="S44" s="42">
        <v>0.82680000000000009</v>
      </c>
      <c r="T44" s="42">
        <v>0.83000000000000007</v>
      </c>
      <c r="U44" s="42">
        <v>0.80820000000000003</v>
      </c>
      <c r="V44" s="42">
        <v>0.83160000000000012</v>
      </c>
      <c r="W44" s="42">
        <v>0.81199999999999994</v>
      </c>
      <c r="X44" s="43">
        <v>0.82320000000000004</v>
      </c>
      <c r="Y44" s="41">
        <v>0.37520000000000003</v>
      </c>
      <c r="Z44" s="42">
        <v>1.5654999999999999</v>
      </c>
      <c r="AA44" s="42">
        <v>1.9889999999999999</v>
      </c>
      <c r="AB44" s="43">
        <v>2.8013999999999997</v>
      </c>
      <c r="AC44" s="41">
        <v>0.82</v>
      </c>
      <c r="AD44" s="42">
        <v>0.82939999999999992</v>
      </c>
      <c r="AE44" s="43">
        <v>0.82769999999999999</v>
      </c>
    </row>
    <row r="45" spans="2:31">
      <c r="B45" s="40" t="s">
        <v>384</v>
      </c>
      <c r="C45" s="41">
        <v>0.40820000000000001</v>
      </c>
      <c r="D45" s="42">
        <v>0.39780000000000004</v>
      </c>
      <c r="E45" s="42">
        <v>0.40949999999999998</v>
      </c>
      <c r="F45" s="42">
        <v>0.40800000000000003</v>
      </c>
      <c r="G45" s="42">
        <v>0.39760000000000001</v>
      </c>
      <c r="H45" s="42">
        <v>0.40500000000000003</v>
      </c>
      <c r="I45" s="42">
        <v>0.38640000000000002</v>
      </c>
      <c r="J45" s="42">
        <v>0.40500000000000003</v>
      </c>
      <c r="K45" s="42">
        <v>0.39960000000000001</v>
      </c>
      <c r="L45" s="42">
        <v>0.39480000000000004</v>
      </c>
      <c r="M45" s="42">
        <v>0.39200000000000002</v>
      </c>
      <c r="N45" s="42">
        <v>0.39</v>
      </c>
      <c r="O45" s="42">
        <v>0.38159999999999999</v>
      </c>
      <c r="P45" s="42">
        <v>0.47040000000000004</v>
      </c>
      <c r="Q45" s="42">
        <v>0.35039999999999999</v>
      </c>
      <c r="R45" s="42">
        <v>0.39929999999999999</v>
      </c>
      <c r="S45" s="42">
        <v>0.38159999999999999</v>
      </c>
      <c r="T45" s="42">
        <v>0.41500000000000004</v>
      </c>
      <c r="U45" s="42">
        <v>0.40410000000000001</v>
      </c>
      <c r="V45" s="42">
        <v>0.38610000000000005</v>
      </c>
      <c r="W45" s="42">
        <v>0.39200000000000002</v>
      </c>
      <c r="X45" s="43">
        <v>0.41160000000000002</v>
      </c>
      <c r="Y45" s="41">
        <v>0.18760000000000002</v>
      </c>
      <c r="Z45" s="42">
        <v>0.75749999999999995</v>
      </c>
      <c r="AA45" s="42">
        <v>0.99449999999999994</v>
      </c>
      <c r="AB45" s="43">
        <v>1.3340000000000001</v>
      </c>
      <c r="AC45" s="41">
        <v>0.39359999999999995</v>
      </c>
      <c r="AD45" s="42">
        <v>0.40040000000000003</v>
      </c>
      <c r="AE45" s="43">
        <v>0.40049999999999997</v>
      </c>
    </row>
    <row r="46" spans="2:31">
      <c r="B46" s="40" t="s">
        <v>385</v>
      </c>
      <c r="C46" s="41">
        <v>0.25120000000000003</v>
      </c>
      <c r="D46" s="42">
        <v>0.24480000000000002</v>
      </c>
      <c r="E46" s="42">
        <v>0.2457</v>
      </c>
      <c r="F46" s="42">
        <v>0.24480000000000002</v>
      </c>
      <c r="G46" s="42">
        <v>0.25559999999999999</v>
      </c>
      <c r="H46" s="42">
        <v>0.24299999999999999</v>
      </c>
      <c r="I46" s="42">
        <v>0.24839999999999998</v>
      </c>
      <c r="J46" s="42">
        <v>0.24299999999999999</v>
      </c>
      <c r="K46" s="42">
        <v>0.23310000000000003</v>
      </c>
      <c r="L46" s="42">
        <v>0.25379999999999997</v>
      </c>
      <c r="M46" s="42">
        <v>0.252</v>
      </c>
      <c r="N46" s="42">
        <v>0.24</v>
      </c>
      <c r="O46" s="42">
        <v>0.25440000000000002</v>
      </c>
      <c r="P46" s="42">
        <v>0.26879999999999998</v>
      </c>
      <c r="Q46" s="42">
        <v>0.20440000000000003</v>
      </c>
      <c r="R46" s="42">
        <v>0.25409999999999999</v>
      </c>
      <c r="S46" s="42">
        <v>0.25440000000000002</v>
      </c>
      <c r="T46" s="42">
        <v>0.249</v>
      </c>
      <c r="U46" s="42">
        <v>0.22450000000000003</v>
      </c>
      <c r="V46" s="42">
        <v>0.23760000000000003</v>
      </c>
      <c r="W46" s="42">
        <v>0.252</v>
      </c>
      <c r="X46" s="43">
        <v>0.23519999999999999</v>
      </c>
      <c r="Y46" s="41">
        <v>0.1072</v>
      </c>
      <c r="Z46" s="42">
        <v>0.45449999999999996</v>
      </c>
      <c r="AA46" s="42">
        <v>0.59670000000000001</v>
      </c>
      <c r="AB46" s="43">
        <v>0.8004</v>
      </c>
      <c r="AC46" s="41">
        <v>0.2296</v>
      </c>
      <c r="AD46" s="42">
        <v>0.2288</v>
      </c>
      <c r="AE46" s="43">
        <v>0.24029999999999999</v>
      </c>
    </row>
    <row r="47" spans="2:31" ht="17" thickBot="1">
      <c r="B47" s="45" t="s">
        <v>386</v>
      </c>
      <c r="C47" s="46">
        <v>9.577</v>
      </c>
      <c r="D47" s="47">
        <v>9.0576000000000008</v>
      </c>
      <c r="E47" s="47">
        <v>7.0706999999999995</v>
      </c>
      <c r="F47" s="47">
        <v>6.9632000000000005</v>
      </c>
      <c r="G47" s="47">
        <v>7.7531999999999996</v>
      </c>
      <c r="H47" s="47">
        <v>6.9390000000000001</v>
      </c>
      <c r="I47" s="47">
        <v>7.258799999999999</v>
      </c>
      <c r="J47" s="47">
        <v>6.8849999999999998</v>
      </c>
      <c r="K47" s="47">
        <v>10.722600000000002</v>
      </c>
      <c r="L47" s="47">
        <v>7.6139999999999999</v>
      </c>
      <c r="M47" s="47">
        <v>7.5039999999999996</v>
      </c>
      <c r="N47" s="47">
        <v>8.6999999999999993</v>
      </c>
      <c r="O47" s="47">
        <v>9.7626000000000008</v>
      </c>
      <c r="P47" s="47">
        <v>9.4751999999999992</v>
      </c>
      <c r="Q47" s="47">
        <v>9.4608000000000008</v>
      </c>
      <c r="R47" s="47">
        <v>12.378299999999999</v>
      </c>
      <c r="S47" s="47">
        <v>9.7626000000000008</v>
      </c>
      <c r="T47" s="47">
        <v>15.604000000000001</v>
      </c>
      <c r="U47" s="47">
        <v>17.645700000000001</v>
      </c>
      <c r="V47" s="47">
        <v>8.5239000000000011</v>
      </c>
      <c r="W47" s="47">
        <v>7.5039999999999996</v>
      </c>
      <c r="X47" s="48">
        <v>8.3201999999999998</v>
      </c>
      <c r="Y47" s="46">
        <v>3.7654000000000001</v>
      </c>
      <c r="Z47" s="47">
        <v>12.2715</v>
      </c>
      <c r="AA47" s="47">
        <v>15.779399999999999</v>
      </c>
      <c r="AB47" s="48">
        <v>43.354999999999997</v>
      </c>
      <c r="AC47" s="46">
        <v>10.364800000000001</v>
      </c>
      <c r="AD47" s="47">
        <v>7.8649999999999993</v>
      </c>
      <c r="AE47" s="48">
        <v>6.7283999999999997</v>
      </c>
    </row>
    <row r="48" spans="2:31" ht="17" thickBot="1">
      <c r="D48" s="49"/>
    </row>
    <row r="49" spans="2:31" ht="17" thickBot="1">
      <c r="B49" s="50" t="s">
        <v>103</v>
      </c>
      <c r="C49" s="31" t="s">
        <v>66</v>
      </c>
      <c r="D49" s="32" t="s">
        <v>67</v>
      </c>
      <c r="E49" s="32" t="s">
        <v>68</v>
      </c>
      <c r="F49" s="32" t="s">
        <v>69</v>
      </c>
      <c r="G49" s="32" t="s">
        <v>70</v>
      </c>
      <c r="H49" s="32" t="s">
        <v>71</v>
      </c>
      <c r="I49" s="32" t="s">
        <v>72</v>
      </c>
      <c r="J49" s="32" t="s">
        <v>74</v>
      </c>
      <c r="K49" s="32" t="s">
        <v>75</v>
      </c>
      <c r="L49" s="32" t="s">
        <v>76</v>
      </c>
      <c r="M49" s="32" t="s">
        <v>77</v>
      </c>
      <c r="N49" s="32" t="s">
        <v>78</v>
      </c>
      <c r="O49" s="32" t="s">
        <v>79</v>
      </c>
      <c r="P49" s="32" t="s">
        <v>80</v>
      </c>
      <c r="Q49" s="32" t="s">
        <v>81</v>
      </c>
      <c r="R49" s="32" t="s">
        <v>82</v>
      </c>
      <c r="S49" s="32" t="s">
        <v>83</v>
      </c>
      <c r="T49" s="32" t="s">
        <v>84</v>
      </c>
      <c r="U49" s="32" t="s">
        <v>85</v>
      </c>
      <c r="V49" s="32" t="s">
        <v>86</v>
      </c>
      <c r="W49" s="32" t="s">
        <v>87</v>
      </c>
      <c r="X49" s="33" t="s">
        <v>88</v>
      </c>
      <c r="Y49" s="31" t="s">
        <v>93</v>
      </c>
      <c r="Z49" s="32" t="s">
        <v>94</v>
      </c>
      <c r="AA49" s="32" t="s">
        <v>95</v>
      </c>
      <c r="AB49" s="33" t="s">
        <v>96</v>
      </c>
      <c r="AC49" s="31" t="s">
        <v>101</v>
      </c>
      <c r="AD49" s="32" t="s">
        <v>340</v>
      </c>
      <c r="AE49" s="33" t="s">
        <v>341</v>
      </c>
    </row>
    <row r="50" spans="2:31" ht="17" thickBot="1">
      <c r="B50" s="51" t="s">
        <v>401</v>
      </c>
      <c r="C50" s="34" t="s">
        <v>3</v>
      </c>
      <c r="D50" s="1" t="s">
        <v>4</v>
      </c>
      <c r="E50" s="35" t="s">
        <v>5</v>
      </c>
      <c r="F50" s="35" t="s">
        <v>89</v>
      </c>
      <c r="G50" s="35" t="s">
        <v>7</v>
      </c>
      <c r="H50" s="35" t="s">
        <v>8</v>
      </c>
      <c r="I50" s="35" t="s">
        <v>90</v>
      </c>
      <c r="J50" s="35" t="s">
        <v>13</v>
      </c>
      <c r="K50" s="35" t="s">
        <v>92</v>
      </c>
      <c r="L50" s="35" t="s">
        <v>15</v>
      </c>
      <c r="M50" s="35" t="s">
        <v>16</v>
      </c>
      <c r="N50" s="35" t="s">
        <v>17</v>
      </c>
      <c r="O50" s="35" t="s">
        <v>18</v>
      </c>
      <c r="P50" s="35" t="s">
        <v>19</v>
      </c>
      <c r="Q50" s="35" t="s">
        <v>20</v>
      </c>
      <c r="R50" s="35" t="s">
        <v>21</v>
      </c>
      <c r="S50" s="35" t="s">
        <v>22</v>
      </c>
      <c r="T50" s="35" t="s">
        <v>23</v>
      </c>
      <c r="U50" s="35" t="s">
        <v>24</v>
      </c>
      <c r="V50" s="35" t="s">
        <v>25</v>
      </c>
      <c r="W50" s="35" t="s">
        <v>26</v>
      </c>
      <c r="X50" s="36" t="s">
        <v>27</v>
      </c>
      <c r="Y50" s="34" t="s">
        <v>97</v>
      </c>
      <c r="Z50" s="35" t="s">
        <v>98</v>
      </c>
      <c r="AA50" s="35" t="s">
        <v>99</v>
      </c>
      <c r="AB50" s="36" t="s">
        <v>100</v>
      </c>
      <c r="AC50" s="34" t="s">
        <v>102</v>
      </c>
      <c r="AD50" s="35" t="s">
        <v>343</v>
      </c>
      <c r="AE50" s="36" t="s">
        <v>344</v>
      </c>
    </row>
    <row r="51" spans="2:31">
      <c r="B51" s="52" t="s">
        <v>402</v>
      </c>
      <c r="C51" s="53">
        <v>3.14</v>
      </c>
      <c r="D51" s="54">
        <v>3.06</v>
      </c>
      <c r="E51" s="54">
        <v>2.73</v>
      </c>
      <c r="F51" s="54">
        <v>2.72</v>
      </c>
      <c r="G51" s="54">
        <v>2.84</v>
      </c>
      <c r="H51" s="54">
        <v>2.7</v>
      </c>
      <c r="I51" s="54">
        <v>2.76</v>
      </c>
      <c r="J51" s="54">
        <v>2.7</v>
      </c>
      <c r="K51" s="54">
        <v>3.33</v>
      </c>
      <c r="L51" s="54">
        <v>2.82</v>
      </c>
      <c r="M51" s="54">
        <v>2.8</v>
      </c>
      <c r="N51" s="54">
        <v>3</v>
      </c>
      <c r="O51" s="54">
        <v>3.18</v>
      </c>
      <c r="P51" s="54">
        <v>3.36</v>
      </c>
      <c r="Q51" s="54">
        <v>2.92</v>
      </c>
      <c r="R51" s="54">
        <v>3.63</v>
      </c>
      <c r="S51" s="54">
        <v>3.18</v>
      </c>
      <c r="T51" s="54">
        <v>4.1500000000000004</v>
      </c>
      <c r="U51" s="54">
        <v>4.49</v>
      </c>
      <c r="V51" s="54">
        <v>2.97</v>
      </c>
      <c r="W51" s="54">
        <v>2.8</v>
      </c>
      <c r="X51" s="55">
        <v>2.94</v>
      </c>
      <c r="Y51" s="53">
        <v>1.34</v>
      </c>
      <c r="Z51" s="54">
        <v>5.05</v>
      </c>
      <c r="AA51" s="54">
        <v>6.63</v>
      </c>
      <c r="AB51" s="55">
        <v>13.34</v>
      </c>
      <c r="AC51" s="53">
        <v>3.28</v>
      </c>
      <c r="AD51" s="54">
        <v>2.86</v>
      </c>
      <c r="AE51" s="55">
        <v>2.67</v>
      </c>
    </row>
    <row r="52" spans="2:31">
      <c r="B52" s="56" t="s">
        <v>403</v>
      </c>
      <c r="C52" s="57">
        <v>5.44</v>
      </c>
      <c r="D52" s="58">
        <v>5.79</v>
      </c>
      <c r="E52" s="58">
        <v>4.45</v>
      </c>
      <c r="F52" s="58">
        <v>9.56</v>
      </c>
      <c r="G52" s="58">
        <v>5.83</v>
      </c>
      <c r="H52" s="58">
        <v>6</v>
      </c>
      <c r="I52" s="58">
        <v>8.08</v>
      </c>
      <c r="J52" s="58">
        <v>6.71</v>
      </c>
      <c r="K52" s="58">
        <v>5.05</v>
      </c>
      <c r="L52" s="58">
        <v>7.17</v>
      </c>
      <c r="M52" s="58">
        <v>6.06</v>
      </c>
      <c r="N52" s="58">
        <v>9.9499999999999993</v>
      </c>
      <c r="O52" s="58">
        <v>8.76</v>
      </c>
      <c r="P52" s="58">
        <v>11.87</v>
      </c>
      <c r="Q52" s="58">
        <v>6.01</v>
      </c>
      <c r="R52" s="58">
        <v>8.0399999999999991</v>
      </c>
      <c r="S52" s="58">
        <v>3.02</v>
      </c>
      <c r="T52" s="58">
        <v>15.52</v>
      </c>
      <c r="U52" s="58">
        <v>9</v>
      </c>
      <c r="V52" s="58">
        <v>12.21</v>
      </c>
      <c r="W52" s="58">
        <v>3.4</v>
      </c>
      <c r="X52" s="59">
        <v>10.99</v>
      </c>
      <c r="Y52" s="57">
        <v>2.2000000000000002</v>
      </c>
      <c r="Z52" s="58">
        <v>9.57</v>
      </c>
      <c r="AA52" s="58">
        <v>13.05</v>
      </c>
      <c r="AB52" s="59">
        <v>14.87</v>
      </c>
      <c r="AC52" s="57">
        <v>1.06</v>
      </c>
      <c r="AD52" s="58">
        <v>6.64</v>
      </c>
      <c r="AE52" s="59">
        <v>9.67</v>
      </c>
    </row>
    <row r="53" spans="2:31">
      <c r="B53" s="52" t="s">
        <v>404</v>
      </c>
      <c r="C53" s="53">
        <v>6.46</v>
      </c>
      <c r="D53" s="54">
        <v>6.12</v>
      </c>
      <c r="E53" s="54">
        <v>5.04</v>
      </c>
      <c r="F53" s="54">
        <v>2.94</v>
      </c>
      <c r="G53" s="54">
        <v>3.84</v>
      </c>
      <c r="H53" s="54">
        <v>4.0999999999999996</v>
      </c>
      <c r="I53" s="54">
        <v>2.4</v>
      </c>
      <c r="J53" s="54">
        <v>4.8099999999999996</v>
      </c>
      <c r="K53" s="54">
        <v>5.05</v>
      </c>
      <c r="L53" s="54">
        <v>5.03</v>
      </c>
      <c r="M53" s="54">
        <v>4.8499999999999996</v>
      </c>
      <c r="N53" s="54">
        <v>4.1100000000000003</v>
      </c>
      <c r="O53" s="54">
        <v>5.16</v>
      </c>
      <c r="P53" s="54">
        <v>7.09</v>
      </c>
      <c r="Q53" s="54">
        <v>4.1100000000000003</v>
      </c>
      <c r="R53" s="54">
        <v>6.32</v>
      </c>
      <c r="S53" s="54">
        <v>6.21</v>
      </c>
      <c r="T53" s="54">
        <v>6.99</v>
      </c>
      <c r="U53" s="54">
        <v>7.57</v>
      </c>
      <c r="V53" s="54">
        <v>5.95</v>
      </c>
      <c r="W53" s="54">
        <v>5.91</v>
      </c>
      <c r="X53" s="55">
        <v>6.81</v>
      </c>
      <c r="Y53" s="53">
        <v>0.31</v>
      </c>
      <c r="Z53" s="54">
        <v>7.88</v>
      </c>
      <c r="AA53" s="54">
        <v>8.9499999999999993</v>
      </c>
      <c r="AB53" s="55">
        <v>10.83</v>
      </c>
      <c r="AC53" s="53">
        <v>6.2</v>
      </c>
      <c r="AD53" s="54">
        <v>3.09</v>
      </c>
      <c r="AE53" s="55">
        <v>3.03</v>
      </c>
    </row>
    <row r="54" spans="2:31">
      <c r="B54" s="60"/>
      <c r="C54" s="3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8"/>
      <c r="Y54" s="37"/>
      <c r="Z54" s="3"/>
      <c r="AA54" s="3"/>
      <c r="AB54" s="38"/>
      <c r="AC54" s="37"/>
      <c r="AD54" s="3"/>
      <c r="AE54" s="38"/>
    </row>
    <row r="55" spans="2:31">
      <c r="B55" s="52" t="s">
        <v>405</v>
      </c>
      <c r="C55" s="53">
        <v>0</v>
      </c>
      <c r="D55" s="54">
        <v>0</v>
      </c>
      <c r="E55" s="54">
        <v>0</v>
      </c>
      <c r="F55" s="54">
        <v>0</v>
      </c>
      <c r="G55" s="54">
        <v>0</v>
      </c>
      <c r="H55" s="54">
        <v>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0.01</v>
      </c>
      <c r="P55" s="54">
        <v>0</v>
      </c>
      <c r="Q55" s="54">
        <v>0</v>
      </c>
      <c r="R55" s="54">
        <v>0.05</v>
      </c>
      <c r="S55" s="54">
        <v>0</v>
      </c>
      <c r="T55" s="54">
        <v>0.01</v>
      </c>
      <c r="U55" s="54">
        <v>0</v>
      </c>
      <c r="V55" s="54">
        <v>0</v>
      </c>
      <c r="W55" s="54">
        <v>0</v>
      </c>
      <c r="X55" s="55">
        <v>0</v>
      </c>
      <c r="Y55" s="53">
        <v>0</v>
      </c>
      <c r="Z55" s="54">
        <v>0</v>
      </c>
      <c r="AA55" s="54">
        <v>0.15</v>
      </c>
      <c r="AB55" s="55">
        <v>0.15</v>
      </c>
      <c r="AC55" s="53">
        <v>0</v>
      </c>
      <c r="AD55" s="54">
        <v>0</v>
      </c>
      <c r="AE55" s="55">
        <v>0</v>
      </c>
    </row>
    <row r="56" spans="2:31">
      <c r="B56" s="56" t="s">
        <v>406</v>
      </c>
      <c r="C56" s="57">
        <v>0</v>
      </c>
      <c r="D56" s="58">
        <v>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9">
        <v>0</v>
      </c>
      <c r="Y56" s="57">
        <v>0</v>
      </c>
      <c r="Z56" s="58">
        <v>0.01</v>
      </c>
      <c r="AA56" s="58">
        <v>0.49</v>
      </c>
      <c r="AB56" s="59">
        <v>1.93</v>
      </c>
      <c r="AC56" s="57">
        <v>0</v>
      </c>
      <c r="AD56" s="58">
        <v>0</v>
      </c>
      <c r="AE56" s="59">
        <v>0</v>
      </c>
    </row>
    <row r="57" spans="2:31">
      <c r="B57" s="52" t="s">
        <v>407</v>
      </c>
      <c r="C57" s="53">
        <v>0</v>
      </c>
      <c r="D57" s="54">
        <v>0</v>
      </c>
      <c r="E57" s="54">
        <v>0</v>
      </c>
      <c r="F57" s="54">
        <v>0</v>
      </c>
      <c r="G57" s="54">
        <v>0</v>
      </c>
      <c r="H57" s="54">
        <v>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</v>
      </c>
      <c r="P57" s="54">
        <v>0</v>
      </c>
      <c r="Q57" s="54">
        <v>0</v>
      </c>
      <c r="R57" s="54">
        <v>0</v>
      </c>
      <c r="S57" s="54">
        <v>0</v>
      </c>
      <c r="T57" s="54">
        <v>0</v>
      </c>
      <c r="U57" s="54">
        <v>0</v>
      </c>
      <c r="V57" s="54">
        <v>0</v>
      </c>
      <c r="W57" s="54">
        <v>0</v>
      </c>
      <c r="X57" s="55">
        <v>0</v>
      </c>
      <c r="Y57" s="53">
        <v>0</v>
      </c>
      <c r="Z57" s="54">
        <v>0</v>
      </c>
      <c r="AA57" s="54">
        <v>0</v>
      </c>
      <c r="AB57" s="55">
        <v>0</v>
      </c>
      <c r="AC57" s="53">
        <v>0</v>
      </c>
      <c r="AD57" s="54">
        <v>0</v>
      </c>
      <c r="AE57" s="55">
        <v>0</v>
      </c>
    </row>
    <row r="58" spans="2:31">
      <c r="B58" s="56" t="s">
        <v>408</v>
      </c>
      <c r="C58" s="57">
        <v>0</v>
      </c>
      <c r="D58" s="58">
        <v>0</v>
      </c>
      <c r="E58" s="58">
        <v>0</v>
      </c>
      <c r="F58" s="58">
        <v>0</v>
      </c>
      <c r="G58" s="58">
        <v>0.01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0.01</v>
      </c>
      <c r="U58" s="58">
        <v>0</v>
      </c>
      <c r="V58" s="58">
        <v>0</v>
      </c>
      <c r="W58" s="58">
        <v>0</v>
      </c>
      <c r="X58" s="59">
        <v>0</v>
      </c>
      <c r="Y58" s="57">
        <v>0</v>
      </c>
      <c r="Z58" s="58">
        <v>0</v>
      </c>
      <c r="AA58" s="58">
        <v>0</v>
      </c>
      <c r="AB58" s="59">
        <v>0</v>
      </c>
      <c r="AC58" s="57">
        <v>0</v>
      </c>
      <c r="AD58" s="58">
        <v>0</v>
      </c>
      <c r="AE58" s="59">
        <v>0</v>
      </c>
    </row>
    <row r="59" spans="2:31">
      <c r="B59" s="52" t="s">
        <v>409</v>
      </c>
      <c r="C59" s="53">
        <v>0</v>
      </c>
      <c r="D59" s="54">
        <v>0</v>
      </c>
      <c r="E59" s="54">
        <v>0</v>
      </c>
      <c r="F59" s="54">
        <v>0</v>
      </c>
      <c r="G59" s="54">
        <v>0</v>
      </c>
      <c r="H59" s="54">
        <v>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0</v>
      </c>
      <c r="O59" s="54">
        <v>0</v>
      </c>
      <c r="P59" s="54">
        <v>0</v>
      </c>
      <c r="Q59" s="54">
        <v>0</v>
      </c>
      <c r="R59" s="54">
        <v>0</v>
      </c>
      <c r="S59" s="54">
        <v>0</v>
      </c>
      <c r="T59" s="54">
        <v>0</v>
      </c>
      <c r="U59" s="54">
        <v>0</v>
      </c>
      <c r="V59" s="54">
        <v>0</v>
      </c>
      <c r="W59" s="54">
        <v>0</v>
      </c>
      <c r="X59" s="55">
        <v>0</v>
      </c>
      <c r="Y59" s="53">
        <v>0</v>
      </c>
      <c r="Z59" s="54">
        <v>0</v>
      </c>
      <c r="AA59" s="54">
        <v>0</v>
      </c>
      <c r="AB59" s="55">
        <v>0.01</v>
      </c>
      <c r="AC59" s="53">
        <v>0</v>
      </c>
      <c r="AD59" s="54">
        <v>0</v>
      </c>
      <c r="AE59" s="55">
        <v>0</v>
      </c>
    </row>
    <row r="60" spans="2:31" ht="17" thickBot="1">
      <c r="B60" s="61" t="s">
        <v>410</v>
      </c>
      <c r="C60" s="62">
        <v>0</v>
      </c>
      <c r="D60" s="63">
        <v>0</v>
      </c>
      <c r="E60" s="63">
        <v>0</v>
      </c>
      <c r="F60" s="63">
        <v>0</v>
      </c>
      <c r="G60" s="63">
        <v>0</v>
      </c>
      <c r="H60" s="63">
        <v>0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0.01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4">
        <v>0</v>
      </c>
      <c r="Y60" s="62">
        <v>0</v>
      </c>
      <c r="Z60" s="63">
        <v>0</v>
      </c>
      <c r="AA60" s="63">
        <v>0.13</v>
      </c>
      <c r="AB60" s="64">
        <v>0.08</v>
      </c>
      <c r="AC60" s="62">
        <v>0</v>
      </c>
      <c r="AD60" s="63">
        <v>0</v>
      </c>
      <c r="AE60" s="64">
        <v>0</v>
      </c>
    </row>
    <row r="70" spans="3:23">
      <c r="D70" t="s">
        <v>765</v>
      </c>
      <c r="E70" t="s">
        <v>5</v>
      </c>
      <c r="F70" t="s">
        <v>767</v>
      </c>
      <c r="G70" t="s">
        <v>768</v>
      </c>
      <c r="H70" t="s">
        <v>769</v>
      </c>
      <c r="I70" t="s">
        <v>770</v>
      </c>
      <c r="J70" t="s">
        <v>12</v>
      </c>
      <c r="K70" t="s">
        <v>771</v>
      </c>
      <c r="L70" t="s">
        <v>14</v>
      </c>
      <c r="M70" t="s">
        <v>772</v>
      </c>
      <c r="N70" t="s">
        <v>773</v>
      </c>
      <c r="O70" t="s">
        <v>774</v>
      </c>
      <c r="P70" t="s">
        <v>775</v>
      </c>
      <c r="Q70" t="s">
        <v>776</v>
      </c>
    </row>
    <row r="71" spans="3:23">
      <c r="C71" t="s">
        <v>777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-1</v>
      </c>
      <c r="M71">
        <v>0</v>
      </c>
      <c r="N71">
        <v>0</v>
      </c>
      <c r="O71">
        <v>0</v>
      </c>
      <c r="P71">
        <v>0</v>
      </c>
      <c r="Q71">
        <v>0</v>
      </c>
      <c r="T71" t="s">
        <v>765</v>
      </c>
      <c r="U71" s="102">
        <f>C3</f>
        <v>3.14</v>
      </c>
      <c r="W71" cm="1">
        <f t="array" ref="W71:W79">MMULT(D71:Q79,U71:U84)</f>
        <v>0</v>
      </c>
    </row>
    <row r="72" spans="3:23">
      <c r="C72" t="s">
        <v>778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-1</v>
      </c>
      <c r="L72">
        <v>0</v>
      </c>
      <c r="M72">
        <v>0</v>
      </c>
      <c r="N72">
        <v>0</v>
      </c>
      <c r="O72">
        <v>0</v>
      </c>
      <c r="P72">
        <v>0</v>
      </c>
      <c r="Q72">
        <v>-1</v>
      </c>
      <c r="T72" t="s">
        <v>5</v>
      </c>
      <c r="U72" s="102">
        <f t="shared" ref="U72:U79" si="2">C4</f>
        <v>2.7318000000000002</v>
      </c>
      <c r="W72">
        <v>3.1400000000000039E-2</v>
      </c>
    </row>
    <row r="73" spans="3:23">
      <c r="C73" t="s">
        <v>779</v>
      </c>
      <c r="D73">
        <v>0</v>
      </c>
      <c r="E73">
        <v>0</v>
      </c>
      <c r="F73">
        <v>0</v>
      </c>
      <c r="G73">
        <v>1</v>
      </c>
      <c r="H73">
        <v>-1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T73" t="s">
        <v>767</v>
      </c>
      <c r="U73" s="102">
        <f t="shared" si="2"/>
        <v>2.7946</v>
      </c>
      <c r="W73">
        <v>0</v>
      </c>
    </row>
    <row r="74" spans="3:23">
      <c r="C74" t="s">
        <v>780</v>
      </c>
      <c r="D74">
        <v>0</v>
      </c>
      <c r="E74">
        <v>1</v>
      </c>
      <c r="F74">
        <v>-1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</v>
      </c>
      <c r="O74">
        <v>0</v>
      </c>
      <c r="P74">
        <v>0</v>
      </c>
      <c r="Q74">
        <v>0</v>
      </c>
      <c r="T74" t="s">
        <v>768</v>
      </c>
      <c r="U74" s="102">
        <f t="shared" si="2"/>
        <v>2.7946</v>
      </c>
      <c r="W74">
        <v>-9.4199999999999756E-2</v>
      </c>
    </row>
    <row r="75" spans="3:23">
      <c r="C75" t="s">
        <v>8</v>
      </c>
      <c r="D75">
        <v>0</v>
      </c>
      <c r="E75">
        <v>0</v>
      </c>
      <c r="F75">
        <v>1</v>
      </c>
      <c r="G75">
        <v>-1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T75" t="s">
        <v>769</v>
      </c>
      <c r="U75" s="102">
        <f t="shared" si="2"/>
        <v>2.7946</v>
      </c>
      <c r="W75">
        <v>0</v>
      </c>
    </row>
    <row r="76" spans="3:23">
      <c r="C76" t="s">
        <v>781</v>
      </c>
      <c r="D76">
        <v>0</v>
      </c>
      <c r="E76">
        <v>0</v>
      </c>
      <c r="F76">
        <v>0</v>
      </c>
      <c r="G76">
        <v>1</v>
      </c>
      <c r="H76">
        <v>1</v>
      </c>
      <c r="I76">
        <v>-1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  <c r="P76">
        <v>0</v>
      </c>
      <c r="Q76">
        <v>0</v>
      </c>
      <c r="T76" t="s">
        <v>770</v>
      </c>
      <c r="U76" s="102">
        <f t="shared" si="2"/>
        <v>5.5578000000000003</v>
      </c>
      <c r="W76">
        <v>-3.5388358909926865E-16</v>
      </c>
    </row>
    <row r="77" spans="3:23">
      <c r="C77" t="s">
        <v>782</v>
      </c>
      <c r="D77">
        <v>1</v>
      </c>
      <c r="E77">
        <v>-1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-1</v>
      </c>
      <c r="N77">
        <v>0</v>
      </c>
      <c r="O77">
        <v>0</v>
      </c>
      <c r="P77">
        <v>0</v>
      </c>
      <c r="Q77">
        <v>0</v>
      </c>
      <c r="T77" t="s">
        <v>12</v>
      </c>
      <c r="U77" s="102">
        <f t="shared" si="2"/>
        <v>5.5578000000000003</v>
      </c>
      <c r="W77">
        <v>0.37679999999999991</v>
      </c>
    </row>
    <row r="78" spans="3:23">
      <c r="C78" t="s">
        <v>783</v>
      </c>
      <c r="D78">
        <v>-1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-1</v>
      </c>
      <c r="Q78">
        <v>0</v>
      </c>
      <c r="T78" t="s">
        <v>771</v>
      </c>
      <c r="U78" s="102">
        <f t="shared" si="2"/>
        <v>5.2438000000000002</v>
      </c>
      <c r="W78">
        <v>2.0096000000000003</v>
      </c>
    </row>
    <row r="79" spans="3:23">
      <c r="C79" t="s">
        <v>784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-1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T79" t="s">
        <v>14</v>
      </c>
      <c r="U79" s="102">
        <f t="shared" si="2"/>
        <v>5.2438000000000002</v>
      </c>
      <c r="W79">
        <v>0</v>
      </c>
    </row>
    <row r="80" spans="3:23">
      <c r="T80" t="s">
        <v>772</v>
      </c>
      <c r="U80" s="102">
        <f>C36</f>
        <v>3.1400000000000004E-2</v>
      </c>
    </row>
    <row r="81" spans="20:21">
      <c r="T81" t="s">
        <v>773</v>
      </c>
      <c r="U81" s="102">
        <f>C37</f>
        <v>3.1400000000000004E-2</v>
      </c>
    </row>
    <row r="82" spans="20:21">
      <c r="T82" t="s">
        <v>774</v>
      </c>
      <c r="U82" s="102">
        <f>C40</f>
        <v>3.1400000000000004E-2</v>
      </c>
    </row>
    <row r="83" spans="20:21">
      <c r="T83" t="s">
        <v>775</v>
      </c>
      <c r="U83" s="102">
        <f>C42</f>
        <v>9.4200000000000006E-2</v>
      </c>
    </row>
    <row r="84" spans="20:21">
      <c r="T84" t="s">
        <v>776</v>
      </c>
      <c r="U84" s="102">
        <f>C41</f>
        <v>0.28260000000000002</v>
      </c>
    </row>
    <row r="87" spans="20:21">
      <c r="T87" t="s">
        <v>765</v>
      </c>
      <c r="U87" s="102">
        <f>D3</f>
        <v>3.06</v>
      </c>
    </row>
    <row r="88" spans="20:21">
      <c r="T88" t="s">
        <v>5</v>
      </c>
      <c r="U88" s="102">
        <f t="shared" ref="U88:U95" si="3">D4</f>
        <v>2.3868</v>
      </c>
    </row>
    <row r="89" spans="20:21">
      <c r="T89" t="s">
        <v>767</v>
      </c>
      <c r="U89" s="102">
        <f t="shared" si="3"/>
        <v>2.6316000000000002</v>
      </c>
    </row>
    <row r="90" spans="20:21">
      <c r="T90" t="s">
        <v>768</v>
      </c>
      <c r="U90" s="102">
        <f t="shared" si="3"/>
        <v>2.6316000000000002</v>
      </c>
    </row>
    <row r="91" spans="20:21">
      <c r="T91" t="s">
        <v>769</v>
      </c>
      <c r="U91" s="102">
        <f t="shared" si="3"/>
        <v>2.6316000000000002</v>
      </c>
    </row>
    <row r="92" spans="20:21">
      <c r="T92" t="s">
        <v>770</v>
      </c>
      <c r="U92" s="102">
        <f t="shared" si="3"/>
        <v>5.2938000000000001</v>
      </c>
    </row>
    <row r="93" spans="20:21">
      <c r="T93" t="s">
        <v>12</v>
      </c>
      <c r="U93" s="102">
        <f t="shared" si="3"/>
        <v>5.2938000000000001</v>
      </c>
    </row>
    <row r="94" spans="20:21">
      <c r="T94" t="s">
        <v>771</v>
      </c>
      <c r="U94" s="102">
        <f t="shared" si="3"/>
        <v>5.0183999999999997</v>
      </c>
    </row>
    <row r="95" spans="20:21">
      <c r="T95" t="s">
        <v>14</v>
      </c>
      <c r="U95" s="102">
        <f t="shared" si="3"/>
        <v>5.0183999999999997</v>
      </c>
    </row>
    <row r="96" spans="20:21">
      <c r="T96" t="s">
        <v>772</v>
      </c>
      <c r="U96" s="102">
        <f>D36</f>
        <v>3.0600000000000002E-2</v>
      </c>
    </row>
    <row r="97" spans="20:21">
      <c r="T97" t="s">
        <v>773</v>
      </c>
      <c r="U97" s="102">
        <f>D37</f>
        <v>3.0600000000000002E-2</v>
      </c>
    </row>
    <row r="98" spans="20:21">
      <c r="T98" t="s">
        <v>774</v>
      </c>
      <c r="U98" s="102">
        <f>D40</f>
        <v>3.0600000000000002E-2</v>
      </c>
    </row>
    <row r="99" spans="20:21">
      <c r="T99" t="s">
        <v>775</v>
      </c>
      <c r="U99" s="102">
        <f>C42</f>
        <v>9.4200000000000006E-2</v>
      </c>
    </row>
    <row r="100" spans="20:21">
      <c r="T100" t="s">
        <v>776</v>
      </c>
      <c r="U100" s="102">
        <f>D41</f>
        <v>0.30600000000000005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1127-299F-4E44-B205-B0F18FD3DB15}">
  <dimension ref="A1:AB59"/>
  <sheetViews>
    <sheetView zoomScale="125" workbookViewId="0">
      <selection sqref="A1:A1048576"/>
    </sheetView>
  </sheetViews>
  <sheetFormatPr baseColWidth="10" defaultColWidth="8.83203125" defaultRowHeight="16"/>
  <cols>
    <col min="1" max="1" width="31.1640625" bestFit="1" customWidth="1"/>
    <col min="2" max="26" width="8.83203125" style="106"/>
  </cols>
  <sheetData>
    <row r="1" spans="1:28">
      <c r="A1" s="39" t="s">
        <v>103</v>
      </c>
      <c r="B1" s="103" t="s">
        <v>66</v>
      </c>
      <c r="C1" s="103" t="s">
        <v>67</v>
      </c>
      <c r="D1" s="103" t="s">
        <v>68</v>
      </c>
      <c r="E1" s="103" t="s">
        <v>69</v>
      </c>
      <c r="F1" s="103" t="s">
        <v>70</v>
      </c>
      <c r="G1" s="103" t="s">
        <v>71</v>
      </c>
      <c r="H1" s="103" t="s">
        <v>72</v>
      </c>
      <c r="I1" s="103" t="s">
        <v>74</v>
      </c>
      <c r="J1" s="103" t="s">
        <v>75</v>
      </c>
      <c r="K1" s="103" t="s">
        <v>76</v>
      </c>
      <c r="L1" s="103" t="s">
        <v>77</v>
      </c>
      <c r="M1" s="103" t="s">
        <v>78</v>
      </c>
      <c r="N1" s="103" t="s">
        <v>79</v>
      </c>
      <c r="O1" s="103" t="s">
        <v>80</v>
      </c>
      <c r="P1" s="103" t="s">
        <v>81</v>
      </c>
      <c r="Q1" s="103" t="s">
        <v>82</v>
      </c>
      <c r="R1" s="103" t="s">
        <v>83</v>
      </c>
      <c r="S1" s="103" t="s">
        <v>84</v>
      </c>
      <c r="T1" s="103" t="s">
        <v>85</v>
      </c>
      <c r="U1" s="103" t="s">
        <v>86</v>
      </c>
      <c r="V1" s="103" t="s">
        <v>87</v>
      </c>
      <c r="W1" s="103" t="s">
        <v>88</v>
      </c>
      <c r="X1" s="103" t="s">
        <v>101</v>
      </c>
      <c r="Y1" s="103" t="s">
        <v>340</v>
      </c>
      <c r="Z1" s="103" t="s">
        <v>341</v>
      </c>
    </row>
    <row r="2" spans="1:28">
      <c r="A2" s="40" t="s">
        <v>345</v>
      </c>
      <c r="B2" s="104">
        <v>3.14</v>
      </c>
      <c r="C2" s="104">
        <v>3.06</v>
      </c>
      <c r="D2" s="104">
        <v>2.73</v>
      </c>
      <c r="E2" s="104">
        <v>2.72</v>
      </c>
      <c r="F2" s="104">
        <v>2.84</v>
      </c>
      <c r="G2" s="104">
        <v>2.7</v>
      </c>
      <c r="H2" s="104">
        <v>2.76</v>
      </c>
      <c r="I2" s="104">
        <v>2.7</v>
      </c>
      <c r="J2" s="104">
        <v>3.33</v>
      </c>
      <c r="K2" s="104">
        <v>2.82</v>
      </c>
      <c r="L2" s="104">
        <v>2.8</v>
      </c>
      <c r="M2" s="104">
        <v>3</v>
      </c>
      <c r="N2" s="104">
        <v>3.18</v>
      </c>
      <c r="O2" s="104">
        <v>3.36</v>
      </c>
      <c r="P2" s="104">
        <v>2.92</v>
      </c>
      <c r="Q2" s="104">
        <v>3.63</v>
      </c>
      <c r="R2" s="104">
        <v>3.18</v>
      </c>
      <c r="S2" s="104">
        <v>4.1500000000000004</v>
      </c>
      <c r="T2" s="104">
        <v>4.49</v>
      </c>
      <c r="U2" s="104">
        <v>2.97</v>
      </c>
      <c r="V2" s="104">
        <v>2.8</v>
      </c>
      <c r="W2" s="104">
        <v>2.94</v>
      </c>
      <c r="X2" s="104">
        <v>3.28</v>
      </c>
      <c r="Y2" s="104">
        <v>2.86</v>
      </c>
      <c r="Z2" s="104">
        <v>2.67</v>
      </c>
    </row>
    <row r="3" spans="1:28">
      <c r="A3" s="40" t="s">
        <v>346</v>
      </c>
      <c r="B3" s="104">
        <v>2.7318000000000002</v>
      </c>
      <c r="C3" s="104">
        <v>2.3868</v>
      </c>
      <c r="D3" s="104" t="s">
        <v>347</v>
      </c>
      <c r="E3" s="104">
        <v>2.2848000000000002</v>
      </c>
      <c r="F3" s="104">
        <v>1.4767999999999999</v>
      </c>
      <c r="G3" s="104">
        <v>2.2949999999999999</v>
      </c>
      <c r="H3" s="104">
        <v>2.0147999999999997</v>
      </c>
      <c r="I3" s="104">
        <v>2.2410000000000001</v>
      </c>
      <c r="J3" s="104">
        <v>2.9304000000000001</v>
      </c>
      <c r="K3" s="104">
        <v>2.0867999999999998</v>
      </c>
      <c r="L3" s="104">
        <v>1.3159999999999998</v>
      </c>
      <c r="M3" s="104">
        <v>2.04</v>
      </c>
      <c r="N3" s="104">
        <v>3.1482000000000001</v>
      </c>
      <c r="O3" s="104">
        <v>2.6208</v>
      </c>
      <c r="P3" s="104">
        <v>2.8908</v>
      </c>
      <c r="Q3" s="104">
        <v>3.3395999999999999</v>
      </c>
      <c r="R3" s="104">
        <v>2.1306000000000003</v>
      </c>
      <c r="S3" s="104">
        <v>2.1165000000000003</v>
      </c>
      <c r="T3" s="104">
        <v>3.5022000000000002</v>
      </c>
      <c r="U3" s="104">
        <v>2.5542000000000002</v>
      </c>
      <c r="V3" s="104">
        <v>2.38</v>
      </c>
      <c r="W3" s="104">
        <v>2.5284</v>
      </c>
      <c r="X3" s="104">
        <v>2.8535999999999997</v>
      </c>
      <c r="Y3" s="104">
        <v>2.2879999999999998</v>
      </c>
      <c r="Z3" s="104">
        <v>1.6019999999999999</v>
      </c>
    </row>
    <row r="4" spans="1:28">
      <c r="A4" s="40" t="s">
        <v>348</v>
      </c>
      <c r="B4" s="104">
        <v>2.7946</v>
      </c>
      <c r="C4" s="104">
        <v>2.6316000000000002</v>
      </c>
      <c r="D4" s="104">
        <v>0.92820000000000003</v>
      </c>
      <c r="E4" s="104">
        <v>2.3664000000000001</v>
      </c>
      <c r="F4" s="104">
        <v>2.1867999999999999</v>
      </c>
      <c r="G4" s="104">
        <v>2.3490000000000002</v>
      </c>
      <c r="H4" s="104">
        <v>2.2907999999999995</v>
      </c>
      <c r="I4" s="104">
        <v>2.3220000000000001</v>
      </c>
      <c r="J4" s="104">
        <v>2.9970000000000003</v>
      </c>
      <c r="K4" s="104">
        <v>2.3687999999999998</v>
      </c>
      <c r="L4" s="104">
        <v>2.0999999999999996</v>
      </c>
      <c r="M4" s="104">
        <v>2.46</v>
      </c>
      <c r="N4" s="104">
        <v>2.9574000000000003</v>
      </c>
      <c r="O4" s="104">
        <v>2.8895999999999997</v>
      </c>
      <c r="P4" s="104">
        <v>2.7156000000000002</v>
      </c>
      <c r="Q4" s="104">
        <v>3.3395999999999999</v>
      </c>
      <c r="R4" s="104">
        <v>2.1941999999999999</v>
      </c>
      <c r="S4" s="104">
        <v>3.2785000000000006</v>
      </c>
      <c r="T4" s="104">
        <v>3.5471000000000004</v>
      </c>
      <c r="U4" s="104">
        <v>2.6136000000000004</v>
      </c>
      <c r="V4" s="104">
        <v>2.4359999999999999</v>
      </c>
      <c r="W4" s="104">
        <v>2.5872000000000002</v>
      </c>
      <c r="X4" s="104">
        <v>2.9192</v>
      </c>
      <c r="Y4" s="104">
        <v>2.4596</v>
      </c>
      <c r="Z4" s="104">
        <v>2.1093000000000002</v>
      </c>
    </row>
    <row r="5" spans="1:28">
      <c r="A5" s="40" t="s">
        <v>349</v>
      </c>
      <c r="B5" s="104">
        <v>2.7946</v>
      </c>
      <c r="C5" s="104">
        <v>2.6316000000000002</v>
      </c>
      <c r="D5" s="104">
        <v>0.92820000000000003</v>
      </c>
      <c r="E5" s="104">
        <v>2.3664000000000001</v>
      </c>
      <c r="F5" s="104">
        <v>2.1867999999999999</v>
      </c>
      <c r="G5" s="104">
        <v>2.3490000000000002</v>
      </c>
      <c r="H5" s="104">
        <v>2.2907999999999995</v>
      </c>
      <c r="I5" s="104">
        <v>2.3220000000000001</v>
      </c>
      <c r="J5" s="104">
        <v>2.9970000000000003</v>
      </c>
      <c r="K5" s="104">
        <v>2.3687999999999998</v>
      </c>
      <c r="L5" s="104">
        <v>2.0999999999999996</v>
      </c>
      <c r="M5" s="104">
        <v>2.46</v>
      </c>
      <c r="N5" s="104">
        <v>2.9574000000000003</v>
      </c>
      <c r="O5" s="104">
        <v>2.8895999999999997</v>
      </c>
      <c r="P5" s="104">
        <v>2.7156000000000002</v>
      </c>
      <c r="Q5" s="104">
        <v>3.3395999999999999</v>
      </c>
      <c r="R5" s="104">
        <v>2.1941999999999999</v>
      </c>
      <c r="S5" s="104">
        <v>3.2785000000000006</v>
      </c>
      <c r="T5" s="104">
        <v>3.5471000000000004</v>
      </c>
      <c r="U5" s="104">
        <v>2.6136000000000004</v>
      </c>
      <c r="V5" s="104">
        <v>2.4359999999999999</v>
      </c>
      <c r="W5" s="104">
        <v>2.5872000000000002</v>
      </c>
      <c r="X5" s="104">
        <v>2.9192</v>
      </c>
      <c r="Y5" s="104">
        <v>2.4596</v>
      </c>
      <c r="Z5" s="104">
        <v>2.1093000000000002</v>
      </c>
    </row>
    <row r="6" spans="1:28">
      <c r="A6" s="40" t="s">
        <v>350</v>
      </c>
      <c r="B6" s="104">
        <v>2.7946</v>
      </c>
      <c r="C6" s="104">
        <v>2.6316000000000002</v>
      </c>
      <c r="D6" s="104">
        <v>0.92820000000000003</v>
      </c>
      <c r="E6" s="104">
        <v>2.3664000000000001</v>
      </c>
      <c r="F6" s="104">
        <v>2.1867999999999999</v>
      </c>
      <c r="G6" s="104">
        <v>2.3490000000000002</v>
      </c>
      <c r="H6" s="104">
        <v>2.2907999999999995</v>
      </c>
      <c r="I6" s="104">
        <v>2.3220000000000001</v>
      </c>
      <c r="J6" s="104">
        <v>2.9970000000000003</v>
      </c>
      <c r="K6" s="104">
        <v>2.3687999999999998</v>
      </c>
      <c r="L6" s="104">
        <v>2.0999999999999996</v>
      </c>
      <c r="M6" s="104">
        <v>2.46</v>
      </c>
      <c r="N6" s="104">
        <v>2.9574000000000003</v>
      </c>
      <c r="O6" s="104">
        <v>2.8895999999999997</v>
      </c>
      <c r="P6" s="104">
        <v>2.7156000000000002</v>
      </c>
      <c r="Q6" s="104">
        <v>3.3395999999999999</v>
      </c>
      <c r="R6" s="104">
        <v>2.1941999999999999</v>
      </c>
      <c r="S6" s="104">
        <v>3.2785000000000006</v>
      </c>
      <c r="T6" s="104">
        <v>3.5471000000000004</v>
      </c>
      <c r="U6" s="104">
        <v>2.6136000000000004</v>
      </c>
      <c r="V6" s="104">
        <v>2.4359999999999999</v>
      </c>
      <c r="W6" s="104">
        <v>2.5872000000000002</v>
      </c>
      <c r="X6" s="104">
        <v>2.9192</v>
      </c>
      <c r="Y6" s="104">
        <v>2.4596</v>
      </c>
      <c r="Z6" s="104">
        <v>2.1093000000000002</v>
      </c>
    </row>
    <row r="7" spans="1:28">
      <c r="A7" s="40" t="s">
        <v>396</v>
      </c>
      <c r="B7" s="104">
        <v>5.5578000000000003</v>
      </c>
      <c r="C7" s="104">
        <v>5.2938000000000001</v>
      </c>
      <c r="D7" s="104">
        <v>3.2759999999999998</v>
      </c>
      <c r="E7" s="104">
        <v>4.7056000000000004</v>
      </c>
      <c r="F7" s="104">
        <v>4.6291999999999991</v>
      </c>
      <c r="G7" s="104">
        <v>4.6710000000000003</v>
      </c>
      <c r="H7" s="104">
        <v>4.6643999999999997</v>
      </c>
      <c r="I7" s="104">
        <v>4.6440000000000001</v>
      </c>
      <c r="J7" s="104">
        <v>5.9274000000000004</v>
      </c>
      <c r="K7" s="104">
        <v>4.7939999999999996</v>
      </c>
      <c r="L7" s="104">
        <v>4.508</v>
      </c>
      <c r="M7" s="104">
        <v>5.0999999999999996</v>
      </c>
      <c r="N7" s="104">
        <v>5.7558000000000007</v>
      </c>
      <c r="O7" s="104">
        <v>5.8127999999999993</v>
      </c>
      <c r="P7" s="104">
        <v>5.3144</v>
      </c>
      <c r="Q7" s="104">
        <v>6.5702999999999996</v>
      </c>
      <c r="R7" s="104">
        <v>4.9926000000000004</v>
      </c>
      <c r="S7" s="104">
        <v>7.0135000000000005</v>
      </c>
      <c r="T7" s="104">
        <v>7.6779000000000002</v>
      </c>
      <c r="U7" s="104">
        <v>5.1975000000000007</v>
      </c>
      <c r="V7" s="104">
        <v>4.8719999999999999</v>
      </c>
      <c r="W7" s="104">
        <v>5.1449999999999996</v>
      </c>
      <c r="X7" s="104">
        <v>5.8384</v>
      </c>
      <c r="Y7" s="104">
        <v>4.9478</v>
      </c>
      <c r="Z7" s="104">
        <v>4.3788</v>
      </c>
    </row>
    <row r="8" spans="1:28">
      <c r="A8" s="101" t="s">
        <v>399</v>
      </c>
      <c r="B8" s="105">
        <f>B7</f>
        <v>5.5578000000000003</v>
      </c>
      <c r="C8" s="105">
        <f t="shared" ref="C8:Z8" si="0">C7</f>
        <v>5.2938000000000001</v>
      </c>
      <c r="D8" s="105">
        <f t="shared" si="0"/>
        <v>3.2759999999999998</v>
      </c>
      <c r="E8" s="105">
        <f t="shared" si="0"/>
        <v>4.7056000000000004</v>
      </c>
      <c r="F8" s="105">
        <f t="shared" si="0"/>
        <v>4.6291999999999991</v>
      </c>
      <c r="G8" s="105">
        <f t="shared" si="0"/>
        <v>4.6710000000000003</v>
      </c>
      <c r="H8" s="105">
        <f t="shared" si="0"/>
        <v>4.6643999999999997</v>
      </c>
      <c r="I8" s="105">
        <f t="shared" si="0"/>
        <v>4.6440000000000001</v>
      </c>
      <c r="J8" s="105">
        <f t="shared" si="0"/>
        <v>5.9274000000000004</v>
      </c>
      <c r="K8" s="105">
        <f t="shared" si="0"/>
        <v>4.7939999999999996</v>
      </c>
      <c r="L8" s="105">
        <f t="shared" si="0"/>
        <v>4.508</v>
      </c>
      <c r="M8" s="105">
        <f t="shared" si="0"/>
        <v>5.0999999999999996</v>
      </c>
      <c r="N8" s="105">
        <f t="shared" si="0"/>
        <v>5.7558000000000007</v>
      </c>
      <c r="O8" s="105">
        <f t="shared" si="0"/>
        <v>5.8127999999999993</v>
      </c>
      <c r="P8" s="105">
        <f t="shared" si="0"/>
        <v>5.3144</v>
      </c>
      <c r="Q8" s="105">
        <f t="shared" si="0"/>
        <v>6.5702999999999996</v>
      </c>
      <c r="R8" s="105">
        <f t="shared" si="0"/>
        <v>4.9926000000000004</v>
      </c>
      <c r="S8" s="105">
        <f t="shared" si="0"/>
        <v>7.0135000000000005</v>
      </c>
      <c r="T8" s="105">
        <f t="shared" si="0"/>
        <v>7.6779000000000002</v>
      </c>
      <c r="U8" s="105">
        <f t="shared" si="0"/>
        <v>5.1975000000000007</v>
      </c>
      <c r="V8" s="105">
        <f t="shared" si="0"/>
        <v>4.8719999999999999</v>
      </c>
      <c r="W8" s="105">
        <f t="shared" si="0"/>
        <v>5.1449999999999996</v>
      </c>
      <c r="X8" s="105">
        <f t="shared" si="0"/>
        <v>5.8384</v>
      </c>
      <c r="Y8" s="105">
        <f t="shared" si="0"/>
        <v>4.9478</v>
      </c>
      <c r="Z8" s="105">
        <f t="shared" si="0"/>
        <v>4.3788</v>
      </c>
    </row>
    <row r="9" spans="1:28">
      <c r="A9" s="101" t="s">
        <v>397</v>
      </c>
      <c r="B9" s="104">
        <v>5.2438000000000002</v>
      </c>
      <c r="C9" s="104">
        <v>5.0183999999999997</v>
      </c>
      <c r="D9" s="104">
        <v>2.9757000000000002</v>
      </c>
      <c r="E9" s="104">
        <v>4.4064000000000005</v>
      </c>
      <c r="F9" s="104">
        <v>4.3452000000000002</v>
      </c>
      <c r="G9" s="104">
        <v>4.3740000000000006</v>
      </c>
      <c r="H9" s="104">
        <v>4.3883999999999999</v>
      </c>
      <c r="I9" s="104">
        <v>4.3470000000000004</v>
      </c>
      <c r="J9" s="104">
        <v>5.6276999999999999</v>
      </c>
      <c r="K9" s="104">
        <v>4.5119999999999996</v>
      </c>
      <c r="L9" s="104">
        <v>4.1999999999999993</v>
      </c>
      <c r="M9" s="104">
        <v>4.8000000000000007</v>
      </c>
      <c r="N9" s="104">
        <v>5.4378000000000002</v>
      </c>
      <c r="O9" s="104">
        <v>5.4432</v>
      </c>
      <c r="P9" s="104">
        <v>5.0515999999999996</v>
      </c>
      <c r="Q9" s="104">
        <v>6.2798999999999996</v>
      </c>
      <c r="R9" s="104">
        <v>4.7064000000000004</v>
      </c>
      <c r="S9" s="104">
        <v>6.7230000000000008</v>
      </c>
      <c r="T9" s="104">
        <v>7.3635999999999999</v>
      </c>
      <c r="U9" s="104">
        <v>4.9005000000000001</v>
      </c>
      <c r="V9" s="104">
        <v>4.5639999999999992</v>
      </c>
      <c r="W9" s="104">
        <v>4.851</v>
      </c>
      <c r="X9" s="104">
        <v>5.5431999999999997</v>
      </c>
      <c r="Y9" s="104">
        <v>4.6332000000000004</v>
      </c>
      <c r="Z9" s="104">
        <v>4.0850999999999997</v>
      </c>
    </row>
    <row r="10" spans="1:28">
      <c r="A10" s="40" t="s">
        <v>398</v>
      </c>
      <c r="B10" s="104">
        <f>B9</f>
        <v>5.2438000000000002</v>
      </c>
      <c r="C10" s="104">
        <f t="shared" ref="C10:Z10" si="1">C9</f>
        <v>5.0183999999999997</v>
      </c>
      <c r="D10" s="104">
        <f t="shared" si="1"/>
        <v>2.9757000000000002</v>
      </c>
      <c r="E10" s="104">
        <f t="shared" si="1"/>
        <v>4.4064000000000005</v>
      </c>
      <c r="F10" s="104">
        <f t="shared" si="1"/>
        <v>4.3452000000000002</v>
      </c>
      <c r="G10" s="104">
        <f t="shared" si="1"/>
        <v>4.3740000000000006</v>
      </c>
      <c r="H10" s="104">
        <f t="shared" si="1"/>
        <v>4.3883999999999999</v>
      </c>
      <c r="I10" s="104">
        <f t="shared" si="1"/>
        <v>4.3470000000000004</v>
      </c>
      <c r="J10" s="104">
        <f t="shared" si="1"/>
        <v>5.6276999999999999</v>
      </c>
      <c r="K10" s="104">
        <f t="shared" si="1"/>
        <v>4.5119999999999996</v>
      </c>
      <c r="L10" s="104">
        <f t="shared" si="1"/>
        <v>4.1999999999999993</v>
      </c>
      <c r="M10" s="104">
        <f t="shared" si="1"/>
        <v>4.8000000000000007</v>
      </c>
      <c r="N10" s="104">
        <f t="shared" si="1"/>
        <v>5.4378000000000002</v>
      </c>
      <c r="O10" s="104">
        <f t="shared" si="1"/>
        <v>5.4432</v>
      </c>
      <c r="P10" s="104">
        <f t="shared" si="1"/>
        <v>5.0515999999999996</v>
      </c>
      <c r="Q10" s="104">
        <f t="shared" si="1"/>
        <v>6.2798999999999996</v>
      </c>
      <c r="R10" s="104">
        <f t="shared" si="1"/>
        <v>4.7064000000000004</v>
      </c>
      <c r="S10" s="104">
        <f t="shared" si="1"/>
        <v>6.7230000000000008</v>
      </c>
      <c r="T10" s="104">
        <f t="shared" si="1"/>
        <v>7.3635999999999999</v>
      </c>
      <c r="U10" s="104">
        <f t="shared" si="1"/>
        <v>4.9005000000000001</v>
      </c>
      <c r="V10" s="104">
        <f t="shared" si="1"/>
        <v>4.5639999999999992</v>
      </c>
      <c r="W10" s="104">
        <f t="shared" si="1"/>
        <v>4.851</v>
      </c>
      <c r="X10" s="104">
        <f t="shared" si="1"/>
        <v>5.5431999999999997</v>
      </c>
      <c r="Y10" s="104">
        <f t="shared" si="1"/>
        <v>4.6332000000000004</v>
      </c>
      <c r="Z10" s="104">
        <f t="shared" si="1"/>
        <v>4.0850999999999997</v>
      </c>
    </row>
    <row r="11" spans="1:28">
      <c r="A11" s="40" t="s">
        <v>351</v>
      </c>
      <c r="B11" s="104">
        <v>1.6014000000000002</v>
      </c>
      <c r="C11" s="104">
        <v>1.53</v>
      </c>
      <c r="D11" s="104">
        <v>0.13650000000000001</v>
      </c>
      <c r="E11" s="104">
        <v>1.1696</v>
      </c>
      <c r="F11" s="104">
        <v>1.3915999999999999</v>
      </c>
      <c r="G11" s="104">
        <v>1.5389999999999999</v>
      </c>
      <c r="H11" s="104">
        <v>1.242</v>
      </c>
      <c r="I11" s="104">
        <v>1.107</v>
      </c>
      <c r="J11" s="104">
        <v>1.8315000000000001</v>
      </c>
      <c r="K11" s="104">
        <v>1.4381999999999999</v>
      </c>
      <c r="L11" s="104">
        <v>1.288</v>
      </c>
      <c r="M11" s="104">
        <v>1.0499999999999998</v>
      </c>
      <c r="N11" s="104">
        <v>2.1624000000000003</v>
      </c>
      <c r="O11" s="104">
        <v>1.7136</v>
      </c>
      <c r="P11" s="104">
        <v>1.9564000000000001</v>
      </c>
      <c r="Q11" s="104">
        <v>2.5409999999999999</v>
      </c>
      <c r="R11" s="104">
        <v>1.431</v>
      </c>
      <c r="S11" s="104">
        <v>2.1580000000000004</v>
      </c>
      <c r="T11" s="104">
        <v>2.1552000000000002</v>
      </c>
      <c r="U11" s="104">
        <v>1.1880000000000002</v>
      </c>
      <c r="V11" s="104">
        <v>1.0919999999999999</v>
      </c>
      <c r="W11" s="104">
        <v>1.2053999999999998</v>
      </c>
      <c r="X11" s="104">
        <v>1.5743999999999998</v>
      </c>
      <c r="Y11" s="104">
        <v>1.3156000000000001</v>
      </c>
      <c r="Z11" s="104">
        <v>1.3083</v>
      </c>
      <c r="AB11" s="44"/>
    </row>
    <row r="12" spans="1:28">
      <c r="A12" s="40" t="s">
        <v>352</v>
      </c>
      <c r="B12" s="104">
        <v>4.1448</v>
      </c>
      <c r="C12" s="104">
        <v>3.9780000000000002</v>
      </c>
      <c r="D12" s="104">
        <v>3.3306</v>
      </c>
      <c r="E12" s="104">
        <v>3.2640000000000002</v>
      </c>
      <c r="F12" s="104">
        <v>3.6919999999999997</v>
      </c>
      <c r="G12" s="104">
        <v>3.8340000000000001</v>
      </c>
      <c r="H12" s="104">
        <v>3.3947999999999996</v>
      </c>
      <c r="I12" s="104">
        <v>3.1859999999999999</v>
      </c>
      <c r="J12" s="104">
        <v>4.5621</v>
      </c>
      <c r="K12" s="104">
        <v>3.6377999999999999</v>
      </c>
      <c r="L12" s="104">
        <v>3.6959999999999997</v>
      </c>
      <c r="M12" s="104">
        <v>3.42</v>
      </c>
      <c r="N12" s="104">
        <v>4.9608000000000008</v>
      </c>
      <c r="O12" s="104">
        <v>4.4016000000000002</v>
      </c>
      <c r="P12" s="104">
        <v>4.3507999999999996</v>
      </c>
      <c r="Q12" s="104">
        <v>5.5538999999999996</v>
      </c>
      <c r="R12" s="104">
        <v>4.6109999999999998</v>
      </c>
      <c r="S12" s="104">
        <v>5.7270000000000003</v>
      </c>
      <c r="T12" s="104">
        <v>6.6002999999999998</v>
      </c>
      <c r="U12" s="104">
        <v>3.5640000000000001</v>
      </c>
      <c r="V12" s="104">
        <v>3.2759999999999998</v>
      </c>
      <c r="W12" s="104">
        <v>3.5573999999999999</v>
      </c>
      <c r="X12" s="104">
        <v>4.2640000000000002</v>
      </c>
      <c r="Y12" s="104">
        <v>3.5749999999999997</v>
      </c>
      <c r="Z12" s="104">
        <v>3.3641999999999999</v>
      </c>
    </row>
    <row r="13" spans="1:28">
      <c r="A13" s="40" t="s">
        <v>353</v>
      </c>
      <c r="B13" s="104">
        <v>0.37680000000000002</v>
      </c>
      <c r="C13" s="104">
        <v>0.64259999999999995</v>
      </c>
      <c r="D13" s="104">
        <v>2.6753999999999998</v>
      </c>
      <c r="E13" s="104">
        <v>0.38080000000000008</v>
      </c>
      <c r="F13" s="104">
        <v>1.3347999999999998</v>
      </c>
      <c r="G13" s="104">
        <v>0.37800000000000006</v>
      </c>
      <c r="H13" s="104">
        <v>0.69</v>
      </c>
      <c r="I13" s="104">
        <v>0.43200000000000005</v>
      </c>
      <c r="J13" s="104">
        <v>0.36630000000000001</v>
      </c>
      <c r="K13" s="104">
        <v>0.67679999999999996</v>
      </c>
      <c r="L13" s="104">
        <v>1.456</v>
      </c>
      <c r="M13" s="104">
        <v>0.92999999999999994</v>
      </c>
      <c r="N13" s="104" t="s">
        <v>347</v>
      </c>
      <c r="O13" s="104">
        <v>0.67200000000000004</v>
      </c>
      <c r="P13" s="104">
        <v>0</v>
      </c>
      <c r="Q13" s="104">
        <v>0.25409999999999999</v>
      </c>
      <c r="R13" s="104">
        <v>0.98580000000000001</v>
      </c>
      <c r="S13" s="104">
        <v>1.992</v>
      </c>
      <c r="T13" s="104">
        <v>0.94289999999999996</v>
      </c>
      <c r="U13" s="104">
        <v>0.38610000000000005</v>
      </c>
      <c r="V13" s="104">
        <v>0.36399999999999999</v>
      </c>
      <c r="W13" s="104">
        <v>0.38219999999999998</v>
      </c>
      <c r="X13" s="104">
        <v>0.36079999999999995</v>
      </c>
      <c r="Y13" s="104">
        <v>0.51479999999999992</v>
      </c>
      <c r="Z13" s="104">
        <v>1.0413000000000001</v>
      </c>
    </row>
    <row r="14" spans="1:28">
      <c r="A14" s="40" t="s">
        <v>354</v>
      </c>
      <c r="B14" s="104">
        <v>0.37680000000000002</v>
      </c>
      <c r="C14" s="104">
        <v>0.64259999999999995</v>
      </c>
      <c r="D14" s="104">
        <v>1.6653</v>
      </c>
      <c r="E14" s="104">
        <v>0.38080000000000008</v>
      </c>
      <c r="F14" s="104">
        <v>1.3347999999999998</v>
      </c>
      <c r="G14" s="104">
        <v>0.37800000000000006</v>
      </c>
      <c r="H14" s="104">
        <v>0.69</v>
      </c>
      <c r="I14" s="104">
        <v>0.43200000000000005</v>
      </c>
      <c r="J14" s="104">
        <v>0.36630000000000001</v>
      </c>
      <c r="K14" s="104">
        <v>0.67679999999999996</v>
      </c>
      <c r="L14" s="104">
        <v>1.456</v>
      </c>
      <c r="M14" s="104">
        <v>0.92999999999999994</v>
      </c>
      <c r="N14" s="104">
        <v>0</v>
      </c>
      <c r="O14" s="104">
        <v>0.67200000000000004</v>
      </c>
      <c r="P14" s="104" t="s">
        <v>347</v>
      </c>
      <c r="Q14" s="104">
        <v>0.25409999999999999</v>
      </c>
      <c r="R14" s="104">
        <v>0.38159999999999999</v>
      </c>
      <c r="S14" s="104">
        <v>1.992</v>
      </c>
      <c r="T14" s="104">
        <v>0.35920000000000002</v>
      </c>
      <c r="U14" s="104">
        <v>0.38610000000000005</v>
      </c>
      <c r="V14" s="104">
        <v>0.36399999999999999</v>
      </c>
      <c r="W14" s="104">
        <v>0.38219999999999998</v>
      </c>
      <c r="X14" s="104">
        <v>0.36079999999999995</v>
      </c>
      <c r="Y14" s="104">
        <v>0.51479999999999992</v>
      </c>
      <c r="Z14" s="104">
        <v>1.0413000000000001</v>
      </c>
    </row>
    <row r="15" spans="1:28">
      <c r="A15" s="40" t="s">
        <v>355</v>
      </c>
      <c r="B15" s="104">
        <v>9.4200000000000006E-2</v>
      </c>
      <c r="C15" s="104">
        <v>0.24480000000000002</v>
      </c>
      <c r="D15" s="104">
        <v>0.9554999999999999</v>
      </c>
      <c r="E15" s="104">
        <v>8.1600000000000006E-2</v>
      </c>
      <c r="F15" s="104">
        <v>0.71</v>
      </c>
      <c r="G15" s="104">
        <v>8.1000000000000003E-2</v>
      </c>
      <c r="H15" s="104">
        <v>0.30359999999999998</v>
      </c>
      <c r="I15" s="104">
        <v>0.13500000000000001</v>
      </c>
      <c r="J15" s="104">
        <v>9.9900000000000003E-2</v>
      </c>
      <c r="K15" s="104">
        <v>0.28199999999999997</v>
      </c>
      <c r="L15" s="104">
        <v>0.81199999999999994</v>
      </c>
      <c r="M15" s="104">
        <v>0.44999999999999996</v>
      </c>
      <c r="N15" s="104">
        <v>-0.15900000000000003</v>
      </c>
      <c r="O15" s="104">
        <v>0.26879999999999998</v>
      </c>
      <c r="P15" s="104">
        <v>-0.14599999999999999</v>
      </c>
      <c r="Q15" s="104" t="s">
        <v>347</v>
      </c>
      <c r="R15" s="104">
        <v>9.5399999999999999E-2</v>
      </c>
      <c r="S15" s="104">
        <v>1.1620000000000001</v>
      </c>
      <c r="T15" s="104">
        <v>8.9800000000000005E-2</v>
      </c>
      <c r="U15" s="104">
        <v>8.9099999999999999E-2</v>
      </c>
      <c r="V15" s="104">
        <v>8.3999999999999991E-2</v>
      </c>
      <c r="W15" s="104">
        <v>8.8200000000000001E-2</v>
      </c>
      <c r="X15" s="104">
        <v>9.8399999999999987E-2</v>
      </c>
      <c r="Y15" s="104">
        <v>0.20020000000000002</v>
      </c>
      <c r="Z15" s="104">
        <v>0.53400000000000003</v>
      </c>
    </row>
    <row r="16" spans="1:28">
      <c r="A16" s="40" t="s">
        <v>356</v>
      </c>
      <c r="B16" s="104">
        <v>0.28260000000000002</v>
      </c>
      <c r="C16" s="104">
        <v>0.36719999999999997</v>
      </c>
      <c r="D16" s="104">
        <v>0.70979999999999999</v>
      </c>
      <c r="E16" s="104">
        <v>0.29920000000000002</v>
      </c>
      <c r="F16" s="104">
        <v>0.59639999999999993</v>
      </c>
      <c r="G16" s="104">
        <v>0.29700000000000004</v>
      </c>
      <c r="H16" s="104">
        <v>0.38640000000000002</v>
      </c>
      <c r="I16" s="104">
        <v>0.29700000000000004</v>
      </c>
      <c r="J16" s="104">
        <v>0.29970000000000002</v>
      </c>
      <c r="K16" s="104">
        <v>0.39480000000000004</v>
      </c>
      <c r="L16" s="104">
        <v>0.64400000000000002</v>
      </c>
      <c r="M16" s="104">
        <v>0.48</v>
      </c>
      <c r="N16" s="104">
        <v>0.15900000000000003</v>
      </c>
      <c r="O16" s="104">
        <v>0.40319999999999995</v>
      </c>
      <c r="P16" s="104">
        <v>0.14599999999999999</v>
      </c>
      <c r="Q16" s="104">
        <v>0.25409999999999999</v>
      </c>
      <c r="R16" s="104">
        <v>0.28620000000000001</v>
      </c>
      <c r="S16" s="104">
        <v>0.83000000000000007</v>
      </c>
      <c r="T16" s="104">
        <v>0.26940000000000003</v>
      </c>
      <c r="U16" s="104">
        <v>0.29700000000000004</v>
      </c>
      <c r="V16" s="104">
        <v>0.27999999999999997</v>
      </c>
      <c r="W16" s="104">
        <v>0.29399999999999998</v>
      </c>
      <c r="X16" s="104">
        <v>0.29519999999999996</v>
      </c>
      <c r="Y16" s="104">
        <v>0.34319999999999995</v>
      </c>
      <c r="Z16" s="104">
        <v>0.50729999999999997</v>
      </c>
    </row>
    <row r="17" spans="1:26">
      <c r="A17" s="40" t="s">
        <v>357</v>
      </c>
      <c r="B17" s="104">
        <v>9.4200000000000006E-2</v>
      </c>
      <c r="C17" s="104">
        <v>0.18359999999999999</v>
      </c>
      <c r="D17" s="104">
        <v>0.51870000000000005</v>
      </c>
      <c r="E17" s="104">
        <v>8.1600000000000006E-2</v>
      </c>
      <c r="F17" s="104">
        <v>0.39760000000000001</v>
      </c>
      <c r="G17" s="104">
        <v>8.1000000000000003E-2</v>
      </c>
      <c r="H17" s="104">
        <v>0.19320000000000001</v>
      </c>
      <c r="I17" s="104">
        <v>0.10800000000000001</v>
      </c>
      <c r="J17" s="104">
        <v>9.9900000000000003E-2</v>
      </c>
      <c r="K17" s="104">
        <v>0.19740000000000002</v>
      </c>
      <c r="L17" s="104">
        <v>0.44799999999999995</v>
      </c>
      <c r="M17" s="104">
        <v>0.27</v>
      </c>
      <c r="N17" s="104">
        <v>-3.1800000000000002E-2</v>
      </c>
      <c r="O17" s="104">
        <v>0.20159999999999997</v>
      </c>
      <c r="P17" s="104">
        <v>-2.92E-2</v>
      </c>
      <c r="Q17" s="104">
        <v>3.6299999999999999E-2</v>
      </c>
      <c r="R17" s="104">
        <v>9.5399999999999999E-2</v>
      </c>
      <c r="S17" s="104">
        <v>0.62250000000000005</v>
      </c>
      <c r="T17" s="104">
        <v>8.9800000000000005E-2</v>
      </c>
      <c r="U17" s="104">
        <v>8.9099999999999999E-2</v>
      </c>
      <c r="V17" s="104">
        <v>8.3999999999999991E-2</v>
      </c>
      <c r="W17" s="104">
        <v>8.8200000000000001E-2</v>
      </c>
      <c r="X17" s="104">
        <v>9.8399999999999987E-2</v>
      </c>
      <c r="Y17" s="104">
        <v>0.14299999999999999</v>
      </c>
      <c r="Z17" s="104">
        <v>0.32039999999999996</v>
      </c>
    </row>
    <row r="18" spans="1:26">
      <c r="A18" s="40" t="s">
        <v>358</v>
      </c>
      <c r="B18" s="104">
        <v>9.4200000000000006E-2</v>
      </c>
      <c r="C18" s="104">
        <v>0.18359999999999999</v>
      </c>
      <c r="D18" s="104">
        <v>0.51870000000000005</v>
      </c>
      <c r="E18" s="104">
        <v>8.1600000000000006E-2</v>
      </c>
      <c r="F18" s="104">
        <v>0.39760000000000001</v>
      </c>
      <c r="G18" s="104">
        <v>8.1000000000000003E-2</v>
      </c>
      <c r="H18" s="104">
        <v>0.19320000000000001</v>
      </c>
      <c r="I18" s="104">
        <v>0.10800000000000001</v>
      </c>
      <c r="J18" s="104">
        <v>9.9900000000000003E-2</v>
      </c>
      <c r="K18" s="104">
        <v>0.19740000000000002</v>
      </c>
      <c r="L18" s="104">
        <v>0.44799999999999995</v>
      </c>
      <c r="M18" s="104">
        <v>0.27</v>
      </c>
      <c r="N18" s="104">
        <v>-3.1800000000000002E-2</v>
      </c>
      <c r="O18" s="104">
        <v>0.20159999999999997</v>
      </c>
      <c r="P18" s="104">
        <v>-2.92E-2</v>
      </c>
      <c r="Q18" s="104">
        <v>3.6299999999999999E-2</v>
      </c>
      <c r="R18" s="104">
        <v>9.5399999999999999E-2</v>
      </c>
      <c r="S18" s="104">
        <v>0.62250000000000005</v>
      </c>
      <c r="T18" s="104">
        <v>8.9800000000000005E-2</v>
      </c>
      <c r="U18" s="104">
        <v>8.9099999999999999E-2</v>
      </c>
      <c r="V18" s="104">
        <v>8.3999999999999991E-2</v>
      </c>
      <c r="W18" s="104">
        <v>8.8200000000000001E-2</v>
      </c>
      <c r="X18" s="104">
        <v>9.8399999999999987E-2</v>
      </c>
      <c r="Y18" s="104">
        <v>0.14299999999999999</v>
      </c>
      <c r="Z18" s="104">
        <v>0.32039999999999996</v>
      </c>
    </row>
    <row r="19" spans="1:26">
      <c r="A19" s="40" t="s">
        <v>359</v>
      </c>
      <c r="B19" s="104">
        <v>0</v>
      </c>
      <c r="C19" s="104">
        <v>9.1799999999999993E-2</v>
      </c>
      <c r="D19" s="104">
        <v>0.43680000000000002</v>
      </c>
      <c r="E19" s="104">
        <v>0</v>
      </c>
      <c r="F19" s="104">
        <v>0.31240000000000001</v>
      </c>
      <c r="G19" s="104">
        <v>0</v>
      </c>
      <c r="H19" s="104">
        <v>0.1104</v>
      </c>
      <c r="I19" s="104">
        <v>2.7000000000000003E-2</v>
      </c>
      <c r="J19" s="104">
        <v>0</v>
      </c>
      <c r="K19" s="104">
        <v>0.1128</v>
      </c>
      <c r="L19" s="104">
        <v>0.36399999999999999</v>
      </c>
      <c r="M19" s="104">
        <v>0.18</v>
      </c>
      <c r="N19" s="104">
        <v>-0.12720000000000001</v>
      </c>
      <c r="O19" s="104">
        <v>0.10079999999999999</v>
      </c>
      <c r="P19" s="104">
        <v>-0.1168</v>
      </c>
      <c r="Q19" s="104">
        <v>-3.6299999999999999E-2</v>
      </c>
      <c r="R19" s="104">
        <v>0</v>
      </c>
      <c r="S19" s="104">
        <v>0.53950000000000009</v>
      </c>
      <c r="T19" s="104">
        <v>0</v>
      </c>
      <c r="U19" s="104">
        <v>0</v>
      </c>
      <c r="V19" s="104">
        <v>0</v>
      </c>
      <c r="W19" s="104">
        <v>0</v>
      </c>
      <c r="X19" s="104">
        <v>0</v>
      </c>
      <c r="Y19" s="104">
        <v>5.7200000000000001E-2</v>
      </c>
      <c r="Z19" s="104">
        <v>0.21360000000000001</v>
      </c>
    </row>
    <row r="20" spans="1:26">
      <c r="A20" s="40" t="s">
        <v>360</v>
      </c>
      <c r="B20" s="104">
        <v>3.0771999999999999</v>
      </c>
      <c r="C20" s="104">
        <v>2.8458000000000001</v>
      </c>
      <c r="D20" s="104">
        <v>1.8291000000000002</v>
      </c>
      <c r="E20" s="104">
        <v>2.2303999999999999</v>
      </c>
      <c r="F20" s="104">
        <v>2.1583999999999999</v>
      </c>
      <c r="G20" s="104">
        <v>2.214</v>
      </c>
      <c r="H20" s="104">
        <v>2.2079999999999997</v>
      </c>
      <c r="I20" s="104">
        <v>2.16</v>
      </c>
      <c r="J20" s="104">
        <v>3.4632000000000001</v>
      </c>
      <c r="K20" s="104">
        <v>2.3405999999999998</v>
      </c>
      <c r="L20" s="104">
        <v>2.044</v>
      </c>
      <c r="M20" s="104">
        <v>2.61</v>
      </c>
      <c r="N20" s="104">
        <v>3.2754000000000003</v>
      </c>
      <c r="O20" s="104">
        <v>2.9567999999999999</v>
      </c>
      <c r="P20" s="104">
        <v>3.1536</v>
      </c>
      <c r="Q20" s="104">
        <v>4.0293000000000001</v>
      </c>
      <c r="R20" s="104">
        <v>3.1482000000000001</v>
      </c>
      <c r="S20" s="104">
        <v>4.5650000000000004</v>
      </c>
      <c r="T20" s="104">
        <v>5.7921000000000005</v>
      </c>
      <c r="U20" s="104">
        <v>2.7324000000000002</v>
      </c>
      <c r="V20" s="104">
        <v>2.4079999999999999</v>
      </c>
      <c r="W20" s="104">
        <v>2.6754000000000002</v>
      </c>
      <c r="X20" s="104">
        <v>3.3455999999999997</v>
      </c>
      <c r="Y20" s="104">
        <v>2.4596</v>
      </c>
      <c r="Z20" s="104">
        <v>1.9223999999999999</v>
      </c>
    </row>
    <row r="21" spans="1:26">
      <c r="A21" s="40" t="s">
        <v>361</v>
      </c>
      <c r="B21" s="104">
        <v>3.0771999999999999</v>
      </c>
      <c r="C21" s="104">
        <v>2.8458000000000001</v>
      </c>
      <c r="D21" s="104">
        <v>1.8291000000000002</v>
      </c>
      <c r="E21" s="104">
        <v>2.2303999999999999</v>
      </c>
      <c r="F21" s="104">
        <v>2.1583999999999999</v>
      </c>
      <c r="G21" s="104">
        <v>2.214</v>
      </c>
      <c r="H21" s="104">
        <v>2.2079999999999997</v>
      </c>
      <c r="I21" s="104">
        <v>2.16</v>
      </c>
      <c r="J21" s="104">
        <v>3.4632000000000001</v>
      </c>
      <c r="K21" s="104">
        <v>2.3405999999999998</v>
      </c>
      <c r="L21" s="104">
        <v>2.044</v>
      </c>
      <c r="M21" s="104">
        <v>2.61</v>
      </c>
      <c r="N21" s="104">
        <v>3.2754000000000003</v>
      </c>
      <c r="O21" s="104">
        <v>2.9567999999999999</v>
      </c>
      <c r="P21" s="104">
        <v>3.1536</v>
      </c>
      <c r="Q21" s="104">
        <v>4.0293000000000001</v>
      </c>
      <c r="R21" s="104">
        <v>3.1482000000000001</v>
      </c>
      <c r="S21" s="104">
        <v>4.5650000000000004</v>
      </c>
      <c r="T21" s="104">
        <v>5.7921000000000005</v>
      </c>
      <c r="U21" s="104">
        <v>2.7324000000000002</v>
      </c>
      <c r="V21" s="104">
        <v>2.4079999999999999</v>
      </c>
      <c r="W21" s="104">
        <v>2.6754000000000002</v>
      </c>
      <c r="X21" s="104">
        <v>3.3455999999999997</v>
      </c>
      <c r="Y21" s="104">
        <v>2.4596</v>
      </c>
      <c r="Z21" s="104">
        <v>1.9223999999999999</v>
      </c>
    </row>
    <row r="22" spans="1:26">
      <c r="A22" s="40" t="s">
        <v>362</v>
      </c>
      <c r="B22" s="104">
        <v>2.8574000000000002</v>
      </c>
      <c r="C22" s="104">
        <v>2.5091999999999999</v>
      </c>
      <c r="D22" s="104">
        <v>1.1193</v>
      </c>
      <c r="E22" s="104">
        <v>1.9856</v>
      </c>
      <c r="F22" s="104">
        <v>1.4483999999999999</v>
      </c>
      <c r="G22" s="104">
        <v>1.4040000000000001</v>
      </c>
      <c r="H22" s="104">
        <v>1.8492</v>
      </c>
      <c r="I22" s="104">
        <v>1.9710000000000001</v>
      </c>
      <c r="J22" s="104">
        <v>3.1968000000000001</v>
      </c>
      <c r="K22" s="104">
        <v>1.833</v>
      </c>
      <c r="L22" s="104">
        <v>1.204</v>
      </c>
      <c r="M22" s="104">
        <v>2.61</v>
      </c>
      <c r="N22" s="104">
        <v>2.4168000000000003</v>
      </c>
      <c r="O22" s="104">
        <v>2.4527999999999999</v>
      </c>
      <c r="P22" s="104">
        <v>2.7156000000000002</v>
      </c>
      <c r="Q22" s="104">
        <v>3.4121999999999999</v>
      </c>
      <c r="R22" s="104">
        <v>2.5122000000000004</v>
      </c>
      <c r="S22" s="104">
        <v>4.1915000000000004</v>
      </c>
      <c r="T22" s="104">
        <v>5.7921000000000005</v>
      </c>
      <c r="U22" s="104">
        <v>2.7324000000000002</v>
      </c>
      <c r="V22" s="104">
        <v>2.3239999999999998</v>
      </c>
      <c r="W22" s="104">
        <v>2.6166</v>
      </c>
      <c r="X22" s="104">
        <v>3.28</v>
      </c>
      <c r="Y22" s="104">
        <v>2.1736</v>
      </c>
      <c r="Z22" s="104">
        <v>1.3083</v>
      </c>
    </row>
    <row r="23" spans="1:26">
      <c r="A23" s="40" t="s">
        <v>363</v>
      </c>
      <c r="B23" s="104">
        <v>2.6061999999999999</v>
      </c>
      <c r="C23" s="104">
        <v>2.2644000000000002</v>
      </c>
      <c r="D23" s="104">
        <v>0.90090000000000003</v>
      </c>
      <c r="E23" s="104">
        <v>1.7408000000000001</v>
      </c>
      <c r="F23" s="104">
        <v>1.2211999999999998</v>
      </c>
      <c r="G23" s="104">
        <v>1.161</v>
      </c>
      <c r="H23" s="104">
        <v>1.6007999999999998</v>
      </c>
      <c r="I23" s="104">
        <v>1.7280000000000002</v>
      </c>
      <c r="J23" s="104">
        <v>2.9637000000000002</v>
      </c>
      <c r="K23" s="104">
        <v>1.6073999999999997</v>
      </c>
      <c r="L23" s="104">
        <v>0.95199999999999996</v>
      </c>
      <c r="M23" s="104">
        <v>2.37</v>
      </c>
      <c r="N23" s="104">
        <v>2.1624000000000003</v>
      </c>
      <c r="O23" s="104">
        <v>2.1840000000000002</v>
      </c>
      <c r="P23" s="104">
        <v>2.4819999999999998</v>
      </c>
      <c r="Q23" s="104">
        <v>3.1580999999999997</v>
      </c>
      <c r="R23" s="104">
        <v>2.2896000000000001</v>
      </c>
      <c r="S23" s="104">
        <v>3.9425000000000003</v>
      </c>
      <c r="T23" s="104">
        <v>5.5227000000000004</v>
      </c>
      <c r="U23" s="104">
        <v>2.4948000000000001</v>
      </c>
      <c r="V23" s="104">
        <v>2.0999999999999996</v>
      </c>
      <c r="W23" s="104">
        <v>2.3814000000000002</v>
      </c>
      <c r="X23" s="104">
        <v>3.0175999999999998</v>
      </c>
      <c r="Y23" s="104">
        <v>1.9448000000000001</v>
      </c>
      <c r="Z23" s="104">
        <v>1.0680000000000001</v>
      </c>
    </row>
    <row r="24" spans="1:26">
      <c r="A24" s="40" t="s">
        <v>364</v>
      </c>
      <c r="B24" s="104">
        <v>2.8574000000000002</v>
      </c>
      <c r="C24" s="104">
        <v>2.601</v>
      </c>
      <c r="D24" s="104">
        <v>1.5833999999999999</v>
      </c>
      <c r="E24" s="104">
        <v>1.9856</v>
      </c>
      <c r="F24" s="104">
        <v>1.9312</v>
      </c>
      <c r="G24" s="104">
        <v>1.9710000000000001</v>
      </c>
      <c r="H24" s="104">
        <v>1.9595999999999998</v>
      </c>
      <c r="I24" s="104">
        <v>1.944</v>
      </c>
      <c r="J24" s="104">
        <v>3.2301000000000002</v>
      </c>
      <c r="K24" s="104">
        <v>2.0867999999999998</v>
      </c>
      <c r="L24" s="104">
        <v>1.7919999999999998</v>
      </c>
      <c r="M24" s="104">
        <v>2.37</v>
      </c>
      <c r="N24" s="104">
        <v>3.0209999999999999</v>
      </c>
      <c r="O24" s="104">
        <v>2.6880000000000002</v>
      </c>
      <c r="P24" s="104">
        <v>2.9491999999999998</v>
      </c>
      <c r="Q24" s="104">
        <v>3.8115000000000001</v>
      </c>
      <c r="R24" s="104">
        <v>2.9256000000000002</v>
      </c>
      <c r="S24" s="104">
        <v>4.3160000000000007</v>
      </c>
      <c r="T24" s="104">
        <v>5.5227000000000004</v>
      </c>
      <c r="U24" s="104">
        <v>2.4948000000000001</v>
      </c>
      <c r="V24" s="104">
        <v>2.1559999999999997</v>
      </c>
      <c r="W24" s="104">
        <v>2.4401999999999999</v>
      </c>
      <c r="X24" s="104">
        <v>3.1159999999999997</v>
      </c>
      <c r="Y24" s="104">
        <v>2.2307999999999999</v>
      </c>
      <c r="Z24" s="104">
        <v>1.6820999999999999</v>
      </c>
    </row>
    <row r="25" spans="1:26">
      <c r="A25" s="40" t="s">
        <v>365</v>
      </c>
      <c r="B25" s="104">
        <v>2.8574000000000002</v>
      </c>
      <c r="C25" s="104">
        <v>2.601</v>
      </c>
      <c r="D25" s="104">
        <v>1.5833999999999999</v>
      </c>
      <c r="E25" s="104">
        <v>1.9856</v>
      </c>
      <c r="F25" s="104">
        <v>1.9312</v>
      </c>
      <c r="G25" s="104">
        <v>1.9710000000000001</v>
      </c>
      <c r="H25" s="104">
        <v>1.9595999999999998</v>
      </c>
      <c r="I25" s="104">
        <v>1.944</v>
      </c>
      <c r="J25" s="104">
        <v>3.2301000000000002</v>
      </c>
      <c r="K25" s="104">
        <v>2.0867999999999998</v>
      </c>
      <c r="L25" s="104">
        <v>1.7919999999999998</v>
      </c>
      <c r="M25" s="104">
        <v>2.37</v>
      </c>
      <c r="N25" s="104">
        <v>3.0209999999999999</v>
      </c>
      <c r="O25" s="104">
        <v>2.6880000000000002</v>
      </c>
      <c r="P25" s="104">
        <v>2.9491999999999998</v>
      </c>
      <c r="Q25" s="104">
        <v>3.8115000000000001</v>
      </c>
      <c r="R25" s="104">
        <v>2.9256000000000002</v>
      </c>
      <c r="S25" s="104">
        <v>4.3160000000000007</v>
      </c>
      <c r="T25" s="104">
        <v>5.5227000000000004</v>
      </c>
      <c r="U25" s="104">
        <v>2.4948000000000001</v>
      </c>
      <c r="V25" s="104">
        <v>2.1559999999999997</v>
      </c>
      <c r="W25" s="104">
        <v>2.4401999999999999</v>
      </c>
      <c r="X25" s="104">
        <v>3.1159999999999997</v>
      </c>
      <c r="Y25" s="104">
        <v>2.2307999999999999</v>
      </c>
      <c r="Z25" s="104">
        <v>1.6820999999999999</v>
      </c>
    </row>
    <row r="26" spans="1:26">
      <c r="A26" s="40" t="s">
        <v>366</v>
      </c>
      <c r="B26" s="104">
        <v>3.0771999999999999</v>
      </c>
      <c r="C26" s="104">
        <v>2.9375999999999998</v>
      </c>
      <c r="D26" s="104">
        <v>2.2113</v>
      </c>
      <c r="E26" s="104">
        <v>2.2032000000000003</v>
      </c>
      <c r="F26" s="104">
        <v>2.556</v>
      </c>
      <c r="G26" s="104">
        <v>2.5649999999999999</v>
      </c>
      <c r="H26" s="104">
        <v>2.3459999999999996</v>
      </c>
      <c r="I26" s="104">
        <v>2.1330000000000005</v>
      </c>
      <c r="J26" s="104">
        <v>3.4965000000000002</v>
      </c>
      <c r="K26" s="104">
        <v>2.5943999999999998</v>
      </c>
      <c r="L26" s="104">
        <v>2.4359999999999999</v>
      </c>
      <c r="M26" s="104">
        <v>2.37</v>
      </c>
      <c r="N26" s="104">
        <v>3.657</v>
      </c>
      <c r="O26" s="104">
        <v>3.1583999999999999</v>
      </c>
      <c r="P26" s="104">
        <v>3.4163999999999999</v>
      </c>
      <c r="Q26" s="104">
        <v>4.4285999999999994</v>
      </c>
      <c r="R26" s="104">
        <v>3.5298000000000003</v>
      </c>
      <c r="S26" s="104">
        <v>4.6480000000000006</v>
      </c>
      <c r="T26" s="104">
        <v>5.5227000000000004</v>
      </c>
      <c r="U26" s="104">
        <v>2.4948000000000001</v>
      </c>
      <c r="V26" s="104">
        <v>2.2119999999999997</v>
      </c>
      <c r="W26" s="104">
        <v>2.4990000000000001</v>
      </c>
      <c r="X26" s="104">
        <v>3.1815999999999995</v>
      </c>
      <c r="Y26" s="104">
        <v>2.4882</v>
      </c>
      <c r="Z26" s="104">
        <v>2.2961999999999998</v>
      </c>
    </row>
    <row r="27" spans="1:26">
      <c r="A27" s="40" t="s">
        <v>367</v>
      </c>
      <c r="B27" s="104">
        <v>0.40820000000000001</v>
      </c>
      <c r="C27" s="104">
        <v>0.30600000000000005</v>
      </c>
      <c r="D27" s="104">
        <v>0</v>
      </c>
      <c r="E27" s="104">
        <v>0.40800000000000003</v>
      </c>
      <c r="F27" s="104">
        <v>0</v>
      </c>
      <c r="G27" s="104">
        <v>2.7000000000000003E-2</v>
      </c>
      <c r="H27" s="104">
        <v>0.27599999999999997</v>
      </c>
      <c r="I27" s="104">
        <v>0.43200000000000005</v>
      </c>
      <c r="J27" s="104">
        <v>0.36630000000000001</v>
      </c>
      <c r="K27" s="104">
        <v>0.14099999999999999</v>
      </c>
      <c r="L27" s="104">
        <v>0</v>
      </c>
      <c r="M27" s="104">
        <v>0.63</v>
      </c>
      <c r="N27" s="104">
        <v>0</v>
      </c>
      <c r="O27" s="104">
        <v>0.23520000000000002</v>
      </c>
      <c r="P27" s="104">
        <v>8.7599999999999997E-2</v>
      </c>
      <c r="Q27" s="104">
        <v>0</v>
      </c>
      <c r="R27" s="104">
        <v>0</v>
      </c>
      <c r="S27" s="104">
        <v>0.29050000000000004</v>
      </c>
      <c r="T27" s="104">
        <v>0.62860000000000005</v>
      </c>
      <c r="U27" s="104">
        <v>0.62370000000000003</v>
      </c>
      <c r="V27" s="104">
        <v>0.55999999999999994</v>
      </c>
      <c r="W27" s="104">
        <v>0.58799999999999997</v>
      </c>
      <c r="X27" s="104">
        <v>0.55759999999999998</v>
      </c>
      <c r="Y27" s="104">
        <v>0.37180000000000002</v>
      </c>
      <c r="Z27" s="104">
        <v>0</v>
      </c>
    </row>
    <row r="28" spans="1:26">
      <c r="A28" s="40" t="s">
        <v>368</v>
      </c>
      <c r="B28" s="104">
        <v>0</v>
      </c>
      <c r="C28" s="104">
        <v>0</v>
      </c>
      <c r="D28" s="104">
        <v>5.4600000000000003E-2</v>
      </c>
      <c r="E28" s="104">
        <v>0</v>
      </c>
      <c r="F28" s="104">
        <v>8.5199999999999998E-2</v>
      </c>
      <c r="G28" s="104">
        <v>0.21600000000000003</v>
      </c>
      <c r="H28" s="104">
        <v>0</v>
      </c>
      <c r="I28" s="104">
        <v>0</v>
      </c>
      <c r="J28" s="104">
        <v>0</v>
      </c>
      <c r="K28" s="104">
        <v>0</v>
      </c>
      <c r="L28" s="104">
        <v>0.19600000000000001</v>
      </c>
      <c r="M28" s="104">
        <v>0</v>
      </c>
      <c r="N28" s="104">
        <v>0.22260000000000002</v>
      </c>
      <c r="O28" s="104">
        <v>0</v>
      </c>
      <c r="P28" s="104">
        <v>0</v>
      </c>
      <c r="Q28" s="104">
        <v>0</v>
      </c>
      <c r="R28" s="104">
        <v>0</v>
      </c>
      <c r="S28" s="104">
        <v>0</v>
      </c>
      <c r="T28" s="104">
        <v>0</v>
      </c>
      <c r="U28" s="104">
        <v>0</v>
      </c>
      <c r="V28" s="104">
        <v>0</v>
      </c>
      <c r="W28" s="104">
        <v>0</v>
      </c>
      <c r="X28" s="104">
        <v>0</v>
      </c>
      <c r="Y28" s="104">
        <v>0</v>
      </c>
      <c r="Z28" s="104">
        <v>0</v>
      </c>
    </row>
    <row r="29" spans="1:26">
      <c r="A29" s="40" t="s">
        <v>369</v>
      </c>
      <c r="B29" s="104">
        <v>0.21980000000000002</v>
      </c>
      <c r="C29" s="104">
        <v>0.33660000000000001</v>
      </c>
      <c r="D29" s="104">
        <v>0.6825</v>
      </c>
      <c r="E29" s="104">
        <v>0.21760000000000002</v>
      </c>
      <c r="F29" s="104">
        <v>0.71</v>
      </c>
      <c r="G29" s="104">
        <v>0.81</v>
      </c>
      <c r="H29" s="104">
        <v>0.35880000000000001</v>
      </c>
      <c r="I29" s="104">
        <v>0.18900000000000003</v>
      </c>
      <c r="J29" s="104">
        <v>0.26640000000000003</v>
      </c>
      <c r="K29" s="104">
        <v>0.50759999999999994</v>
      </c>
      <c r="L29" s="104">
        <v>0.84</v>
      </c>
      <c r="M29" s="104">
        <v>0</v>
      </c>
      <c r="N29" s="104">
        <v>0.85860000000000014</v>
      </c>
      <c r="O29" s="104">
        <v>0.504</v>
      </c>
      <c r="P29" s="104">
        <v>0.4672</v>
      </c>
      <c r="Q29" s="104">
        <v>0.61709999999999998</v>
      </c>
      <c r="R29" s="104">
        <v>0.63600000000000012</v>
      </c>
      <c r="S29" s="104">
        <v>0.33200000000000002</v>
      </c>
      <c r="T29" s="104">
        <v>0</v>
      </c>
      <c r="U29" s="104">
        <v>0</v>
      </c>
      <c r="V29" s="104">
        <v>5.5999999999999994E-2</v>
      </c>
      <c r="W29" s="104">
        <v>5.8799999999999998E-2</v>
      </c>
      <c r="X29" s="104">
        <v>6.5599999999999992E-2</v>
      </c>
      <c r="Y29" s="104">
        <v>0.28599999999999998</v>
      </c>
      <c r="Z29" s="104">
        <v>0.61409999999999998</v>
      </c>
    </row>
    <row r="30" spans="1:26">
      <c r="A30" s="40" t="s">
        <v>370</v>
      </c>
      <c r="B30" s="104">
        <v>0.21980000000000002</v>
      </c>
      <c r="C30" s="104">
        <v>0.33660000000000001</v>
      </c>
      <c r="D30" s="104">
        <v>0.6825</v>
      </c>
      <c r="E30" s="104">
        <v>0.21760000000000002</v>
      </c>
      <c r="F30" s="104">
        <v>0.71</v>
      </c>
      <c r="G30" s="104">
        <v>0.81</v>
      </c>
      <c r="H30" s="104">
        <v>0.35880000000000001</v>
      </c>
      <c r="I30" s="104">
        <v>0.18900000000000003</v>
      </c>
      <c r="J30" s="104">
        <v>0.26640000000000003</v>
      </c>
      <c r="K30" s="104">
        <v>0.50759999999999994</v>
      </c>
      <c r="L30" s="104">
        <v>0.84</v>
      </c>
      <c r="M30" s="104">
        <v>0</v>
      </c>
      <c r="N30" s="104">
        <v>0.85860000000000014</v>
      </c>
      <c r="O30" s="104">
        <v>0.504</v>
      </c>
      <c r="P30" s="104">
        <v>0.4672</v>
      </c>
      <c r="Q30" s="104">
        <v>0.61709999999999998</v>
      </c>
      <c r="R30" s="104">
        <v>0.63600000000000012</v>
      </c>
      <c r="S30" s="104">
        <v>0.33200000000000002</v>
      </c>
      <c r="T30" s="104">
        <v>0</v>
      </c>
      <c r="U30" s="104">
        <v>0</v>
      </c>
      <c r="V30" s="104">
        <v>5.5999999999999994E-2</v>
      </c>
      <c r="W30" s="104">
        <v>5.8799999999999998E-2</v>
      </c>
      <c r="X30" s="104">
        <v>6.5599999999999992E-2</v>
      </c>
      <c r="Y30" s="104">
        <v>0.28599999999999998</v>
      </c>
      <c r="Z30" s="104">
        <v>0.61409999999999998</v>
      </c>
    </row>
    <row r="31" spans="1:26">
      <c r="A31" s="40" t="s">
        <v>371</v>
      </c>
      <c r="B31" s="104" t="s">
        <v>347</v>
      </c>
      <c r="C31" s="104" t="s">
        <v>347</v>
      </c>
      <c r="D31" s="104">
        <v>1.0101</v>
      </c>
      <c r="E31" s="104" t="s">
        <v>347</v>
      </c>
      <c r="F31" s="104" t="s">
        <v>347</v>
      </c>
      <c r="G31" s="104" t="s">
        <v>347</v>
      </c>
      <c r="H31" s="104" t="s">
        <v>347</v>
      </c>
      <c r="I31" s="104" t="s">
        <v>347</v>
      </c>
      <c r="J31" s="104" t="s">
        <v>347</v>
      </c>
      <c r="K31" s="104" t="s">
        <v>347</v>
      </c>
      <c r="L31" s="104" t="s">
        <v>347</v>
      </c>
      <c r="M31" s="104" t="s">
        <v>347</v>
      </c>
      <c r="N31" s="104" t="s">
        <v>347</v>
      </c>
      <c r="O31" s="104">
        <v>0</v>
      </c>
      <c r="P31" s="104">
        <v>0</v>
      </c>
      <c r="Q31" s="104">
        <v>0</v>
      </c>
      <c r="R31" s="104">
        <v>0.63600000000000012</v>
      </c>
      <c r="S31" s="104" t="s">
        <v>347</v>
      </c>
      <c r="T31" s="104">
        <v>0.5837</v>
      </c>
      <c r="U31" s="104" t="s">
        <v>347</v>
      </c>
      <c r="V31" s="104" t="s">
        <v>347</v>
      </c>
      <c r="W31" s="104" t="s">
        <v>347</v>
      </c>
      <c r="X31" s="104" t="s">
        <v>347</v>
      </c>
      <c r="Y31" s="104" t="s">
        <v>347</v>
      </c>
      <c r="Z31" s="104" t="s">
        <v>347</v>
      </c>
    </row>
    <row r="32" spans="1:26">
      <c r="A32" s="40" t="s">
        <v>372</v>
      </c>
      <c r="B32" s="104">
        <v>0</v>
      </c>
      <c r="C32" s="104">
        <v>0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4">
        <v>0</v>
      </c>
      <c r="O32" s="104">
        <v>0</v>
      </c>
      <c r="P32" s="104">
        <v>0</v>
      </c>
      <c r="Q32" s="104">
        <v>0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</v>
      </c>
      <c r="Y32" s="104">
        <v>0</v>
      </c>
      <c r="Z32" s="104">
        <v>0</v>
      </c>
    </row>
    <row r="33" spans="1:26">
      <c r="A33" s="40" t="s">
        <v>373</v>
      </c>
      <c r="B33" s="104">
        <v>0</v>
      </c>
      <c r="C33" s="104">
        <v>0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4">
        <v>0</v>
      </c>
      <c r="N33" s="104">
        <v>0</v>
      </c>
      <c r="O33" s="104">
        <v>0</v>
      </c>
      <c r="P33" s="104">
        <v>0</v>
      </c>
      <c r="Q33" s="104">
        <v>0</v>
      </c>
      <c r="R33" s="104">
        <v>0</v>
      </c>
      <c r="S33" s="104">
        <v>0</v>
      </c>
      <c r="T33" s="104">
        <v>0</v>
      </c>
      <c r="U33" s="104">
        <v>0</v>
      </c>
      <c r="V33" s="104">
        <v>0</v>
      </c>
      <c r="W33" s="104">
        <v>0</v>
      </c>
      <c r="X33" s="104">
        <v>0</v>
      </c>
      <c r="Y33" s="104">
        <v>0</v>
      </c>
      <c r="Z33" s="104">
        <v>0</v>
      </c>
    </row>
    <row r="34" spans="1:26">
      <c r="A34" s="40" t="s">
        <v>374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7.2599999999999998E-2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Z34" s="104">
        <v>0</v>
      </c>
    </row>
    <row r="35" spans="1:26">
      <c r="A35" s="40" t="s">
        <v>375</v>
      </c>
      <c r="B35" s="104">
        <v>3.1400000000000004E-2</v>
      </c>
      <c r="C35" s="104">
        <v>3.0600000000000002E-2</v>
      </c>
      <c r="D35" s="104">
        <v>5.4600000000000003E-2</v>
      </c>
      <c r="E35" s="104">
        <v>5.4400000000000004E-2</v>
      </c>
      <c r="F35" s="104">
        <v>5.6799999999999996E-2</v>
      </c>
      <c r="G35" s="104">
        <v>5.4000000000000006E-2</v>
      </c>
      <c r="H35" s="104">
        <v>5.5199999999999999E-2</v>
      </c>
      <c r="I35" s="104">
        <v>5.4000000000000006E-2</v>
      </c>
      <c r="J35" s="104">
        <v>3.3300000000000003E-2</v>
      </c>
      <c r="K35" s="104">
        <v>5.6399999999999999E-2</v>
      </c>
      <c r="L35" s="104">
        <v>5.5999999999999994E-2</v>
      </c>
      <c r="M35" s="104">
        <v>0.06</v>
      </c>
      <c r="N35" s="104">
        <v>3.1800000000000002E-2</v>
      </c>
      <c r="O35" s="104">
        <v>6.7199999999999996E-2</v>
      </c>
      <c r="P35" s="104">
        <v>2.92E-2</v>
      </c>
      <c r="Q35" s="104">
        <v>3.6299999999999999E-2</v>
      </c>
      <c r="R35" s="104">
        <v>3.1800000000000002E-2</v>
      </c>
      <c r="S35" s="104">
        <v>4.1500000000000002E-2</v>
      </c>
      <c r="T35" s="104">
        <v>4.4900000000000002E-2</v>
      </c>
      <c r="U35" s="104">
        <v>5.9400000000000008E-2</v>
      </c>
      <c r="V35" s="104">
        <v>5.5999999999999994E-2</v>
      </c>
      <c r="W35" s="104">
        <v>5.8799999999999998E-2</v>
      </c>
      <c r="X35" s="104">
        <v>3.2799999999999996E-2</v>
      </c>
      <c r="Y35" s="104">
        <v>5.7200000000000001E-2</v>
      </c>
      <c r="Z35" s="104">
        <v>5.3400000000000003E-2</v>
      </c>
    </row>
    <row r="36" spans="1:26">
      <c r="A36" s="40" t="s">
        <v>376</v>
      </c>
      <c r="B36" s="104">
        <v>3.1400000000000004E-2</v>
      </c>
      <c r="C36" s="104">
        <v>3.0600000000000002E-2</v>
      </c>
      <c r="D36" s="104">
        <v>2.7300000000000001E-2</v>
      </c>
      <c r="E36" s="104">
        <v>2.7200000000000002E-2</v>
      </c>
      <c r="F36" s="104">
        <v>2.8399999999999998E-2</v>
      </c>
      <c r="G36" s="104">
        <v>2.7000000000000003E-2</v>
      </c>
      <c r="H36" s="104">
        <v>2.76E-2</v>
      </c>
      <c r="I36" s="104">
        <v>2.7000000000000003E-2</v>
      </c>
      <c r="J36" s="104">
        <v>3.3300000000000003E-2</v>
      </c>
      <c r="K36" s="104">
        <v>2.8199999999999999E-2</v>
      </c>
      <c r="L36" s="104">
        <v>2.7999999999999997E-2</v>
      </c>
      <c r="M36" s="104">
        <v>0.03</v>
      </c>
      <c r="N36" s="104">
        <v>3.1800000000000002E-2</v>
      </c>
      <c r="O36" s="104">
        <v>3.3599999999999998E-2</v>
      </c>
      <c r="P36" s="104">
        <v>2.92E-2</v>
      </c>
      <c r="Q36" s="104">
        <v>3.6299999999999999E-2</v>
      </c>
      <c r="R36" s="104">
        <v>3.1800000000000002E-2</v>
      </c>
      <c r="S36" s="104">
        <v>4.1500000000000002E-2</v>
      </c>
      <c r="T36" s="104">
        <v>4.4900000000000002E-2</v>
      </c>
      <c r="U36" s="104">
        <v>2.9700000000000004E-2</v>
      </c>
      <c r="V36" s="104">
        <v>2.7999999999999997E-2</v>
      </c>
      <c r="W36" s="104">
        <v>2.9399999999999999E-2</v>
      </c>
      <c r="X36" s="104">
        <v>3.2799999999999996E-2</v>
      </c>
      <c r="Y36" s="104">
        <v>2.86E-2</v>
      </c>
      <c r="Z36" s="104">
        <v>2.6700000000000002E-2</v>
      </c>
    </row>
    <row r="37" spans="1:26">
      <c r="A37" s="40" t="s">
        <v>377</v>
      </c>
      <c r="B37" s="104">
        <v>0.18840000000000001</v>
      </c>
      <c r="C37" s="104">
        <v>0.18359999999999999</v>
      </c>
      <c r="D37" s="104">
        <v>0.19110000000000002</v>
      </c>
      <c r="E37" s="104">
        <v>0.19040000000000004</v>
      </c>
      <c r="F37" s="104">
        <v>0.1988</v>
      </c>
      <c r="G37" s="104">
        <v>0.18900000000000003</v>
      </c>
      <c r="H37" s="104">
        <v>0.19320000000000001</v>
      </c>
      <c r="I37" s="104">
        <v>0.18900000000000003</v>
      </c>
      <c r="J37" s="104">
        <v>0.19980000000000001</v>
      </c>
      <c r="K37" s="104">
        <v>0.19740000000000002</v>
      </c>
      <c r="L37" s="104">
        <v>0.19600000000000001</v>
      </c>
      <c r="M37" s="104">
        <v>0.21000000000000002</v>
      </c>
      <c r="N37" s="104">
        <v>0.1908</v>
      </c>
      <c r="O37" s="104">
        <v>0.23520000000000002</v>
      </c>
      <c r="P37" s="104">
        <v>0.17519999999999999</v>
      </c>
      <c r="Q37" s="104">
        <v>0.18149999999999999</v>
      </c>
      <c r="R37" s="104">
        <v>0.1908</v>
      </c>
      <c r="S37" s="104">
        <v>0.20750000000000002</v>
      </c>
      <c r="T37" s="104">
        <v>0.17960000000000001</v>
      </c>
      <c r="U37" s="104">
        <v>0.20790000000000003</v>
      </c>
      <c r="V37" s="104">
        <v>0.19600000000000001</v>
      </c>
      <c r="W37" s="104">
        <v>0.20580000000000001</v>
      </c>
      <c r="X37" s="104">
        <v>0.19679999999999997</v>
      </c>
      <c r="Y37" s="104">
        <v>0.20020000000000002</v>
      </c>
      <c r="Z37" s="104">
        <v>0.18690000000000001</v>
      </c>
    </row>
    <row r="38" spans="1:26">
      <c r="A38" s="40" t="s">
        <v>378</v>
      </c>
      <c r="B38" s="104">
        <v>9.4200000000000006E-2</v>
      </c>
      <c r="C38" s="104">
        <v>9.1799999999999993E-2</v>
      </c>
      <c r="D38" s="104">
        <v>8.1900000000000001E-2</v>
      </c>
      <c r="E38" s="104">
        <v>8.1600000000000006E-2</v>
      </c>
      <c r="F38" s="104">
        <v>8.5199999999999998E-2</v>
      </c>
      <c r="G38" s="104">
        <v>8.1000000000000003E-2</v>
      </c>
      <c r="H38" s="104">
        <v>8.2799999999999985E-2</v>
      </c>
      <c r="I38" s="104">
        <v>8.1000000000000003E-2</v>
      </c>
      <c r="J38" s="104">
        <v>9.9900000000000003E-2</v>
      </c>
      <c r="K38" s="104">
        <v>8.4599999999999995E-2</v>
      </c>
      <c r="L38" s="104">
        <v>8.3999999999999991E-2</v>
      </c>
      <c r="M38" s="104">
        <v>0.09</v>
      </c>
      <c r="N38" s="104">
        <v>9.5399999999999999E-2</v>
      </c>
      <c r="O38" s="104">
        <v>0.10079999999999999</v>
      </c>
      <c r="P38" s="104">
        <v>8.7599999999999997E-2</v>
      </c>
      <c r="Q38" s="104">
        <v>7.2599999999999998E-2</v>
      </c>
      <c r="R38" s="104">
        <v>9.5399999999999999E-2</v>
      </c>
      <c r="S38" s="104">
        <v>8.3000000000000004E-2</v>
      </c>
      <c r="T38" s="104">
        <v>8.9800000000000005E-2</v>
      </c>
      <c r="U38" s="104">
        <v>8.9099999999999999E-2</v>
      </c>
      <c r="V38" s="104">
        <v>8.3999999999999991E-2</v>
      </c>
      <c r="W38" s="104">
        <v>8.8200000000000001E-2</v>
      </c>
      <c r="X38" s="104">
        <v>9.8399999999999987E-2</v>
      </c>
      <c r="Y38" s="104">
        <v>8.5799999999999987E-2</v>
      </c>
      <c r="Z38" s="104">
        <v>8.0099999999999991E-2</v>
      </c>
    </row>
    <row r="39" spans="1:26">
      <c r="A39" s="40" t="s">
        <v>379</v>
      </c>
      <c r="B39" s="104">
        <v>3.1400000000000004E-2</v>
      </c>
      <c r="C39" s="104">
        <v>3.0600000000000002E-2</v>
      </c>
      <c r="D39" s="104">
        <v>2.7300000000000001E-2</v>
      </c>
      <c r="E39" s="104">
        <v>2.7200000000000002E-2</v>
      </c>
      <c r="F39" s="104">
        <v>2.8399999999999998E-2</v>
      </c>
      <c r="G39" s="104">
        <v>2.7000000000000003E-2</v>
      </c>
      <c r="H39" s="104">
        <v>2.76E-2</v>
      </c>
      <c r="I39" s="104">
        <v>2.7000000000000003E-2</v>
      </c>
      <c r="J39" s="104">
        <v>3.3300000000000003E-2</v>
      </c>
      <c r="K39" s="104">
        <v>2.8199999999999999E-2</v>
      </c>
      <c r="L39" s="104">
        <v>2.7999999999999997E-2</v>
      </c>
      <c r="M39" s="104">
        <v>0.03</v>
      </c>
      <c r="N39" s="104">
        <v>3.1800000000000002E-2</v>
      </c>
      <c r="O39" s="104">
        <v>3.3599999999999998E-2</v>
      </c>
      <c r="P39" s="104">
        <v>2.92E-2</v>
      </c>
      <c r="Q39" s="104">
        <v>3.6299999999999999E-2</v>
      </c>
      <c r="R39" s="104">
        <v>3.1800000000000002E-2</v>
      </c>
      <c r="S39" s="104">
        <v>4.1500000000000002E-2</v>
      </c>
      <c r="T39" s="104">
        <v>4.4900000000000002E-2</v>
      </c>
      <c r="U39" s="104">
        <v>2.9700000000000004E-2</v>
      </c>
      <c r="V39" s="104">
        <v>2.7999999999999997E-2</v>
      </c>
      <c r="W39" s="104">
        <v>2.9399999999999999E-2</v>
      </c>
      <c r="X39" s="104">
        <v>3.2799999999999996E-2</v>
      </c>
      <c r="Y39" s="104">
        <v>2.86E-2</v>
      </c>
      <c r="Z39" s="104">
        <v>2.6700000000000002E-2</v>
      </c>
    </row>
    <row r="40" spans="1:26">
      <c r="A40" s="40" t="s">
        <v>380</v>
      </c>
      <c r="B40" s="104">
        <v>0.28260000000000002</v>
      </c>
      <c r="C40" s="104">
        <v>0.30600000000000005</v>
      </c>
      <c r="D40" s="104">
        <v>0.30030000000000001</v>
      </c>
      <c r="E40" s="104">
        <v>0.29920000000000002</v>
      </c>
      <c r="F40" s="104">
        <v>0.31240000000000001</v>
      </c>
      <c r="G40" s="104">
        <v>0.29700000000000004</v>
      </c>
      <c r="H40" s="104">
        <v>0.30359999999999998</v>
      </c>
      <c r="I40" s="104">
        <v>0.29700000000000004</v>
      </c>
      <c r="J40" s="104">
        <v>0.29970000000000002</v>
      </c>
      <c r="K40" s="104">
        <v>0.31019999999999998</v>
      </c>
      <c r="L40" s="104">
        <v>0.308</v>
      </c>
      <c r="M40" s="104">
        <v>0.30000000000000004</v>
      </c>
      <c r="N40" s="104">
        <v>0.28620000000000001</v>
      </c>
      <c r="O40" s="104">
        <v>0.33600000000000002</v>
      </c>
      <c r="P40" s="104">
        <v>0.26279999999999998</v>
      </c>
      <c r="Q40" s="104">
        <v>0.29039999999999999</v>
      </c>
      <c r="R40" s="104">
        <v>0.28620000000000001</v>
      </c>
      <c r="S40" s="104">
        <v>0.29050000000000004</v>
      </c>
      <c r="T40" s="104">
        <v>0.31430000000000002</v>
      </c>
      <c r="U40" s="104">
        <v>0.29700000000000004</v>
      </c>
      <c r="V40" s="104">
        <v>0.308</v>
      </c>
      <c r="W40" s="104">
        <v>0.29399999999999998</v>
      </c>
      <c r="X40" s="104">
        <v>0.29519999999999996</v>
      </c>
      <c r="Y40" s="104">
        <v>0.28599999999999998</v>
      </c>
      <c r="Z40" s="104">
        <v>0.29370000000000002</v>
      </c>
    </row>
    <row r="41" spans="1:26">
      <c r="A41" s="40" t="s">
        <v>381</v>
      </c>
      <c r="B41" s="104">
        <v>9.4200000000000006E-2</v>
      </c>
      <c r="C41" s="104">
        <v>0.12240000000000001</v>
      </c>
      <c r="D41" s="104">
        <v>0.10920000000000001</v>
      </c>
      <c r="E41" s="104">
        <v>0.10880000000000001</v>
      </c>
      <c r="F41" s="104">
        <v>0.11359999999999999</v>
      </c>
      <c r="G41" s="104">
        <v>0.10800000000000001</v>
      </c>
      <c r="H41" s="104">
        <v>0.1104</v>
      </c>
      <c r="I41" s="104">
        <v>0.10800000000000001</v>
      </c>
      <c r="J41" s="104">
        <v>9.9900000000000003E-2</v>
      </c>
      <c r="K41" s="104">
        <v>0.1128</v>
      </c>
      <c r="L41" s="104">
        <v>0.11199999999999999</v>
      </c>
      <c r="M41" s="104">
        <v>0.12</v>
      </c>
      <c r="N41" s="104">
        <v>9.5399999999999999E-2</v>
      </c>
      <c r="O41" s="104">
        <v>0.13439999999999999</v>
      </c>
      <c r="P41" s="104">
        <v>8.7599999999999997E-2</v>
      </c>
      <c r="Q41" s="104">
        <v>0.1089</v>
      </c>
      <c r="R41" s="104">
        <v>9.5399999999999999E-2</v>
      </c>
      <c r="S41" s="104">
        <v>0.1245</v>
      </c>
      <c r="T41" s="104">
        <v>8.9800000000000005E-2</v>
      </c>
      <c r="U41" s="104">
        <v>0.11880000000000002</v>
      </c>
      <c r="V41" s="104">
        <v>0.11199999999999999</v>
      </c>
      <c r="W41" s="104">
        <v>0.1176</v>
      </c>
      <c r="X41" s="104">
        <v>9.8399999999999987E-2</v>
      </c>
      <c r="Y41" s="104">
        <v>0.1144</v>
      </c>
      <c r="Z41" s="104">
        <v>0.10680000000000001</v>
      </c>
    </row>
    <row r="42" spans="1:26">
      <c r="A42" s="40" t="s">
        <v>382</v>
      </c>
      <c r="B42" s="104">
        <v>0.59660000000000002</v>
      </c>
      <c r="C42" s="104">
        <v>0.6120000000000001</v>
      </c>
      <c r="D42" s="104">
        <v>0.60060000000000002</v>
      </c>
      <c r="E42" s="104">
        <v>0.62560000000000004</v>
      </c>
      <c r="F42" s="104">
        <v>0.62480000000000002</v>
      </c>
      <c r="G42" s="104">
        <v>0.62100000000000011</v>
      </c>
      <c r="H42" s="104">
        <v>0.60719999999999996</v>
      </c>
      <c r="I42" s="104">
        <v>0.62100000000000011</v>
      </c>
      <c r="J42" s="104">
        <v>0.59940000000000004</v>
      </c>
      <c r="K42" s="104">
        <v>0.62039999999999995</v>
      </c>
      <c r="L42" s="104">
        <v>0.61599999999999999</v>
      </c>
      <c r="M42" s="104">
        <v>0.60000000000000009</v>
      </c>
      <c r="N42" s="104">
        <v>0.60420000000000007</v>
      </c>
      <c r="O42" s="104">
        <v>0.70559999999999989</v>
      </c>
      <c r="P42" s="104">
        <v>0.52559999999999996</v>
      </c>
      <c r="Q42" s="104">
        <v>0.61709999999999998</v>
      </c>
      <c r="R42" s="104">
        <v>0.60420000000000007</v>
      </c>
      <c r="S42" s="104">
        <v>0.62250000000000005</v>
      </c>
      <c r="T42" s="104">
        <v>0.62860000000000005</v>
      </c>
      <c r="U42" s="104">
        <v>0.62370000000000003</v>
      </c>
      <c r="V42" s="104">
        <v>0.61599999999999999</v>
      </c>
      <c r="W42" s="104">
        <v>0.61739999999999995</v>
      </c>
      <c r="X42" s="104">
        <v>0.62319999999999998</v>
      </c>
      <c r="Y42" s="104">
        <v>0.60059999999999991</v>
      </c>
      <c r="Z42" s="104">
        <v>0.61409999999999998</v>
      </c>
    </row>
    <row r="43" spans="1:26">
      <c r="A43" s="40" t="s">
        <v>383</v>
      </c>
      <c r="B43" s="104">
        <v>0.81640000000000001</v>
      </c>
      <c r="C43" s="104">
        <v>0.82620000000000005</v>
      </c>
      <c r="D43" s="104">
        <v>0.81899999999999995</v>
      </c>
      <c r="E43" s="104">
        <v>0.81600000000000006</v>
      </c>
      <c r="F43" s="104">
        <v>0.82359999999999989</v>
      </c>
      <c r="G43" s="104">
        <v>0.81</v>
      </c>
      <c r="H43" s="104">
        <v>0.82799999999999996</v>
      </c>
      <c r="I43" s="104">
        <v>0.81</v>
      </c>
      <c r="J43" s="104">
        <v>0.83250000000000002</v>
      </c>
      <c r="K43" s="104">
        <v>0.81779999999999986</v>
      </c>
      <c r="L43" s="104">
        <v>0.81199999999999994</v>
      </c>
      <c r="M43" s="104">
        <v>0.81</v>
      </c>
      <c r="N43" s="104">
        <v>0.82680000000000009</v>
      </c>
      <c r="O43" s="104">
        <v>0.94080000000000008</v>
      </c>
      <c r="P43" s="104">
        <v>0.70079999999999998</v>
      </c>
      <c r="Q43" s="104">
        <v>0.83489999999999998</v>
      </c>
      <c r="R43" s="104">
        <v>0.82680000000000009</v>
      </c>
      <c r="S43" s="104">
        <v>0.83000000000000007</v>
      </c>
      <c r="T43" s="104">
        <v>0.80820000000000003</v>
      </c>
      <c r="U43" s="104">
        <v>0.83160000000000012</v>
      </c>
      <c r="V43" s="104">
        <v>0.81199999999999994</v>
      </c>
      <c r="W43" s="104">
        <v>0.82320000000000004</v>
      </c>
      <c r="X43" s="104">
        <v>0.82</v>
      </c>
      <c r="Y43" s="104">
        <v>0.82939999999999992</v>
      </c>
      <c r="Z43" s="104">
        <v>0.82769999999999999</v>
      </c>
    </row>
    <row r="44" spans="1:26">
      <c r="A44" s="40" t="s">
        <v>384</v>
      </c>
      <c r="B44" s="104">
        <v>0.40820000000000001</v>
      </c>
      <c r="C44" s="104">
        <v>0.39780000000000004</v>
      </c>
      <c r="D44" s="104">
        <v>0.40949999999999998</v>
      </c>
      <c r="E44" s="104">
        <v>0.40800000000000003</v>
      </c>
      <c r="F44" s="104">
        <v>0.39760000000000001</v>
      </c>
      <c r="G44" s="104">
        <v>0.40500000000000003</v>
      </c>
      <c r="H44" s="104">
        <v>0.38640000000000002</v>
      </c>
      <c r="I44" s="104">
        <v>0.40500000000000003</v>
      </c>
      <c r="J44" s="104">
        <v>0.39960000000000001</v>
      </c>
      <c r="K44" s="104">
        <v>0.39480000000000004</v>
      </c>
      <c r="L44" s="104">
        <v>0.39200000000000002</v>
      </c>
      <c r="M44" s="104">
        <v>0.39</v>
      </c>
      <c r="N44" s="104">
        <v>0.38159999999999999</v>
      </c>
      <c r="O44" s="104">
        <v>0.47040000000000004</v>
      </c>
      <c r="P44" s="104">
        <v>0.35039999999999999</v>
      </c>
      <c r="Q44" s="104">
        <v>0.39929999999999999</v>
      </c>
      <c r="R44" s="104">
        <v>0.38159999999999999</v>
      </c>
      <c r="S44" s="104">
        <v>0.41500000000000004</v>
      </c>
      <c r="T44" s="104">
        <v>0.40410000000000001</v>
      </c>
      <c r="U44" s="104">
        <v>0.38610000000000005</v>
      </c>
      <c r="V44" s="104">
        <v>0.39200000000000002</v>
      </c>
      <c r="W44" s="104">
        <v>0.41160000000000002</v>
      </c>
      <c r="X44" s="104">
        <v>0.39359999999999995</v>
      </c>
      <c r="Y44" s="104">
        <v>0.40040000000000003</v>
      </c>
      <c r="Z44" s="104">
        <v>0.40049999999999997</v>
      </c>
    </row>
    <row r="45" spans="1:26">
      <c r="A45" s="40" t="s">
        <v>385</v>
      </c>
      <c r="B45" s="104">
        <v>0.25120000000000003</v>
      </c>
      <c r="C45" s="104">
        <v>0.24480000000000002</v>
      </c>
      <c r="D45" s="104">
        <v>0.2457</v>
      </c>
      <c r="E45" s="104">
        <v>0.24480000000000002</v>
      </c>
      <c r="F45" s="104">
        <v>0.25559999999999999</v>
      </c>
      <c r="G45" s="104">
        <v>0.24299999999999999</v>
      </c>
      <c r="H45" s="104">
        <v>0.24839999999999998</v>
      </c>
      <c r="I45" s="104">
        <v>0.24299999999999999</v>
      </c>
      <c r="J45" s="104">
        <v>0.23310000000000003</v>
      </c>
      <c r="K45" s="104">
        <v>0.25379999999999997</v>
      </c>
      <c r="L45" s="104">
        <v>0.252</v>
      </c>
      <c r="M45" s="104">
        <v>0.24</v>
      </c>
      <c r="N45" s="104">
        <v>0.25440000000000002</v>
      </c>
      <c r="O45" s="104">
        <v>0.26879999999999998</v>
      </c>
      <c r="P45" s="104">
        <v>0.20440000000000003</v>
      </c>
      <c r="Q45" s="104">
        <v>0.25409999999999999</v>
      </c>
      <c r="R45" s="104">
        <v>0.25440000000000002</v>
      </c>
      <c r="S45" s="104">
        <v>0.249</v>
      </c>
      <c r="T45" s="104">
        <v>0.22450000000000003</v>
      </c>
      <c r="U45" s="104">
        <v>0.23760000000000003</v>
      </c>
      <c r="V45" s="104">
        <v>0.252</v>
      </c>
      <c r="W45" s="104">
        <v>0.23519999999999999</v>
      </c>
      <c r="X45" s="104">
        <v>0.2296</v>
      </c>
      <c r="Y45" s="104">
        <v>0.2288</v>
      </c>
      <c r="Z45" s="104">
        <v>0.24029999999999999</v>
      </c>
    </row>
    <row r="46" spans="1:26" ht="17" thickBot="1">
      <c r="A46" s="45" t="s">
        <v>386</v>
      </c>
      <c r="B46" s="104">
        <v>9.577</v>
      </c>
      <c r="C46" s="104">
        <v>9.0576000000000008</v>
      </c>
      <c r="D46" s="104">
        <v>7.0706999999999995</v>
      </c>
      <c r="E46" s="104">
        <v>6.9632000000000005</v>
      </c>
      <c r="F46" s="104">
        <v>7.7531999999999996</v>
      </c>
      <c r="G46" s="104">
        <v>6.9390000000000001</v>
      </c>
      <c r="H46" s="104">
        <v>7.258799999999999</v>
      </c>
      <c r="I46" s="104">
        <v>6.8849999999999998</v>
      </c>
      <c r="J46" s="104">
        <v>10.722600000000002</v>
      </c>
      <c r="K46" s="104">
        <v>7.6139999999999999</v>
      </c>
      <c r="L46" s="104">
        <v>7.5039999999999996</v>
      </c>
      <c r="M46" s="104">
        <v>8.6999999999999993</v>
      </c>
      <c r="N46" s="104">
        <v>9.7626000000000008</v>
      </c>
      <c r="O46" s="104">
        <v>9.4751999999999992</v>
      </c>
      <c r="P46" s="104">
        <v>9.4608000000000008</v>
      </c>
      <c r="Q46" s="104">
        <v>12.378299999999999</v>
      </c>
      <c r="R46" s="104">
        <v>9.7626000000000008</v>
      </c>
      <c r="S46" s="104">
        <v>15.604000000000001</v>
      </c>
      <c r="T46" s="104">
        <v>17.645700000000001</v>
      </c>
      <c r="U46" s="104">
        <v>8.5239000000000011</v>
      </c>
      <c r="V46" s="104">
        <v>7.5039999999999996</v>
      </c>
      <c r="W46" s="104">
        <v>8.3201999999999998</v>
      </c>
      <c r="X46" s="104">
        <v>10.364800000000001</v>
      </c>
      <c r="Y46" s="104">
        <v>7.8649999999999993</v>
      </c>
      <c r="Z46" s="104">
        <v>6.7283999999999997</v>
      </c>
    </row>
    <row r="47" spans="1:26" ht="17" thickBot="1"/>
    <row r="48" spans="1:26" ht="17" thickBot="1">
      <c r="A48" s="50" t="s">
        <v>103</v>
      </c>
    </row>
    <row r="49" spans="1:1" ht="17" thickBot="1">
      <c r="A49" s="51" t="s">
        <v>401</v>
      </c>
    </row>
    <row r="50" spans="1:1">
      <c r="A50" s="52" t="s">
        <v>402</v>
      </c>
    </row>
    <row r="51" spans="1:1">
      <c r="A51" s="56" t="s">
        <v>403</v>
      </c>
    </row>
    <row r="52" spans="1:1">
      <c r="A52" s="52" t="s">
        <v>404</v>
      </c>
    </row>
    <row r="53" spans="1:1">
      <c r="A53" s="60"/>
    </row>
    <row r="54" spans="1:1">
      <c r="A54" s="52" t="s">
        <v>405</v>
      </c>
    </row>
    <row r="55" spans="1:1">
      <c r="A55" s="56" t="s">
        <v>406</v>
      </c>
    </row>
    <row r="56" spans="1:1">
      <c r="A56" s="52" t="s">
        <v>407</v>
      </c>
    </row>
    <row r="57" spans="1:1">
      <c r="A57" s="56" t="s">
        <v>408</v>
      </c>
    </row>
    <row r="58" spans="1:1">
      <c r="A58" s="52" t="s">
        <v>409</v>
      </c>
    </row>
    <row r="59" spans="1:1" ht="17" thickBot="1">
      <c r="A59" s="61" t="s">
        <v>410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7A65-3A08-6445-B525-22ACC1F95419}">
  <dimension ref="A1:F59"/>
  <sheetViews>
    <sheetView tabSelected="1" workbookViewId="0">
      <selection activeCell="A4" sqref="A4"/>
    </sheetView>
  </sheetViews>
  <sheetFormatPr baseColWidth="10" defaultColWidth="8.83203125" defaultRowHeight="16"/>
  <cols>
    <col min="1" max="1" width="31.1640625" bestFit="1" customWidth="1"/>
    <col min="2" max="4" width="8.83203125" style="106"/>
  </cols>
  <sheetData>
    <row r="1" spans="1:6">
      <c r="A1" s="39" t="s">
        <v>103</v>
      </c>
      <c r="B1" s="103" t="s">
        <v>101</v>
      </c>
      <c r="C1" s="103" t="s">
        <v>340</v>
      </c>
      <c r="D1" s="103" t="s">
        <v>341</v>
      </c>
      <c r="E1" s="107" t="s">
        <v>785</v>
      </c>
    </row>
    <row r="2" spans="1:6">
      <c r="A2" s="40" t="s">
        <v>345</v>
      </c>
      <c r="B2" s="104">
        <v>3.28</v>
      </c>
      <c r="C2" s="104">
        <v>2.86</v>
      </c>
      <c r="D2" s="104">
        <v>2.67</v>
      </c>
      <c r="E2">
        <f>STDEV(B2:D2)</f>
        <v>0.31214312956291906</v>
      </c>
    </row>
    <row r="3" spans="1:6">
      <c r="A3" s="40" t="s">
        <v>346</v>
      </c>
      <c r="B3" s="104">
        <v>2.8535999999999997</v>
      </c>
      <c r="C3" s="104">
        <v>2.2879999999999998</v>
      </c>
      <c r="D3" s="104">
        <v>1.6019999999999999</v>
      </c>
      <c r="E3">
        <f t="shared" ref="E3:E46" si="0">STDEV(B3:D3)</f>
        <v>0.62676443209018617</v>
      </c>
    </row>
    <row r="4" spans="1:6">
      <c r="A4" s="40" t="s">
        <v>348</v>
      </c>
      <c r="B4" s="104">
        <v>2.9192</v>
      </c>
      <c r="C4" s="104">
        <v>2.4596</v>
      </c>
      <c r="D4" s="104">
        <v>2.1093000000000002</v>
      </c>
      <c r="E4">
        <f t="shared" si="0"/>
        <v>0.40617735453042342</v>
      </c>
    </row>
    <row r="5" spans="1:6">
      <c r="A5" s="40" t="s">
        <v>349</v>
      </c>
      <c r="B5" s="104">
        <v>2.9192</v>
      </c>
      <c r="C5" s="104">
        <v>2.4596</v>
      </c>
      <c r="D5" s="104">
        <v>2.1093000000000002</v>
      </c>
      <c r="E5">
        <f t="shared" si="0"/>
        <v>0.40617735453042342</v>
      </c>
    </row>
    <row r="6" spans="1:6">
      <c r="A6" s="40" t="s">
        <v>350</v>
      </c>
      <c r="B6" s="104">
        <v>2.9192</v>
      </c>
      <c r="C6" s="104">
        <v>2.4596</v>
      </c>
      <c r="D6" s="104">
        <v>2.1093000000000002</v>
      </c>
      <c r="E6">
        <f t="shared" si="0"/>
        <v>0.40617735453042342</v>
      </c>
    </row>
    <row r="7" spans="1:6">
      <c r="A7" s="40" t="s">
        <v>396</v>
      </c>
      <c r="B7" s="104">
        <v>5.8384</v>
      </c>
      <c r="C7" s="104">
        <v>4.9478</v>
      </c>
      <c r="D7" s="104">
        <v>4.3788</v>
      </c>
      <c r="E7">
        <f t="shared" si="0"/>
        <v>0.73568126250434884</v>
      </c>
    </row>
    <row r="8" spans="1:6">
      <c r="A8" s="101" t="s">
        <v>399</v>
      </c>
      <c r="B8" s="105">
        <f t="shared" ref="B8:D8" si="1">B7</f>
        <v>5.8384</v>
      </c>
      <c r="C8" s="105">
        <f t="shared" si="1"/>
        <v>4.9478</v>
      </c>
      <c r="D8" s="105">
        <f t="shared" si="1"/>
        <v>4.3788</v>
      </c>
      <c r="E8">
        <f t="shared" si="0"/>
        <v>0.73568126250434884</v>
      </c>
    </row>
    <row r="9" spans="1:6">
      <c r="A9" s="101" t="s">
        <v>397</v>
      </c>
      <c r="B9" s="104">
        <v>5.5431999999999997</v>
      </c>
      <c r="C9" s="104">
        <v>4.6332000000000004</v>
      </c>
      <c r="D9" s="104">
        <v>4.0850999999999997</v>
      </c>
      <c r="E9">
        <f t="shared" si="0"/>
        <v>0.73649725276698941</v>
      </c>
    </row>
    <row r="10" spans="1:6">
      <c r="A10" s="40" t="s">
        <v>398</v>
      </c>
      <c r="B10" s="104">
        <f t="shared" ref="B10:D10" si="2">B9</f>
        <v>5.5431999999999997</v>
      </c>
      <c r="C10" s="104">
        <f t="shared" si="2"/>
        <v>4.6332000000000004</v>
      </c>
      <c r="D10" s="104">
        <f t="shared" si="2"/>
        <v>4.0850999999999997</v>
      </c>
      <c r="E10">
        <f t="shared" si="0"/>
        <v>0.73649725276698941</v>
      </c>
    </row>
    <row r="11" spans="1:6">
      <c r="A11" s="40" t="s">
        <v>351</v>
      </c>
      <c r="B11" s="104">
        <v>1.5743999999999998</v>
      </c>
      <c r="C11" s="104">
        <v>1.3156000000000001</v>
      </c>
      <c r="D11" s="104">
        <v>1.3083</v>
      </c>
      <c r="E11">
        <f t="shared" si="0"/>
        <v>0.15156953299833476</v>
      </c>
      <c r="F11" s="44"/>
    </row>
    <row r="12" spans="1:6">
      <c r="A12" s="40" t="s">
        <v>352</v>
      </c>
      <c r="B12" s="104">
        <v>4.2640000000000002</v>
      </c>
      <c r="C12" s="104">
        <v>3.5749999999999997</v>
      </c>
      <c r="D12" s="104">
        <v>3.3641999999999999</v>
      </c>
      <c r="E12">
        <f t="shared" si="0"/>
        <v>0.47060203994457761</v>
      </c>
    </row>
    <row r="13" spans="1:6">
      <c r="A13" s="40" t="s">
        <v>353</v>
      </c>
      <c r="B13" s="104">
        <v>0.36079999999999995</v>
      </c>
      <c r="C13" s="104">
        <v>0.51479999999999992</v>
      </c>
      <c r="D13" s="104">
        <v>1.0413000000000001</v>
      </c>
      <c r="E13">
        <f t="shared" si="0"/>
        <v>0.35683761479604892</v>
      </c>
    </row>
    <row r="14" spans="1:6">
      <c r="A14" s="40" t="s">
        <v>354</v>
      </c>
      <c r="B14" s="104">
        <v>0.36079999999999995</v>
      </c>
      <c r="C14" s="104">
        <v>0.51479999999999992</v>
      </c>
      <c r="D14" s="104">
        <v>1.0413000000000001</v>
      </c>
      <c r="E14">
        <f t="shared" si="0"/>
        <v>0.35683761479604892</v>
      </c>
    </row>
    <row r="15" spans="1:6">
      <c r="A15" s="40" t="s">
        <v>355</v>
      </c>
      <c r="B15" s="104">
        <v>9.8399999999999987E-2</v>
      </c>
      <c r="C15" s="104">
        <v>0.20020000000000002</v>
      </c>
      <c r="D15" s="104">
        <v>0.53400000000000003</v>
      </c>
      <c r="E15">
        <f t="shared" si="0"/>
        <v>0.22786437486657132</v>
      </c>
    </row>
    <row r="16" spans="1:6">
      <c r="A16" s="40" t="s">
        <v>356</v>
      </c>
      <c r="B16" s="104">
        <v>0.29519999999999996</v>
      </c>
      <c r="C16" s="104">
        <v>0.34319999999999995</v>
      </c>
      <c r="D16" s="104">
        <v>0.50729999999999997</v>
      </c>
      <c r="E16">
        <f t="shared" si="0"/>
        <v>0.11121991728103407</v>
      </c>
    </row>
    <row r="17" spans="1:5">
      <c r="A17" s="40" t="s">
        <v>357</v>
      </c>
      <c r="B17" s="104">
        <v>9.8399999999999987E-2</v>
      </c>
      <c r="C17" s="104">
        <v>0.14299999999999999</v>
      </c>
      <c r="D17" s="104">
        <v>0.32039999999999996</v>
      </c>
      <c r="E17">
        <f t="shared" si="0"/>
        <v>0.11743361245117739</v>
      </c>
    </row>
    <row r="18" spans="1:5">
      <c r="A18" s="40" t="s">
        <v>358</v>
      </c>
      <c r="B18" s="104">
        <v>9.8399999999999987E-2</v>
      </c>
      <c r="C18" s="104">
        <v>0.14299999999999999</v>
      </c>
      <c r="D18" s="104">
        <v>0.32039999999999996</v>
      </c>
      <c r="E18">
        <f t="shared" si="0"/>
        <v>0.11743361245117739</v>
      </c>
    </row>
    <row r="19" spans="1:5">
      <c r="A19" s="40" t="s">
        <v>359</v>
      </c>
      <c r="B19" s="104">
        <v>0</v>
      </c>
      <c r="C19" s="104">
        <v>5.7200000000000001E-2</v>
      </c>
      <c r="D19" s="104">
        <v>0.21360000000000001</v>
      </c>
      <c r="E19">
        <f t="shared" si="0"/>
        <v>0.11057257043830233</v>
      </c>
    </row>
    <row r="20" spans="1:5">
      <c r="A20" s="40" t="s">
        <v>360</v>
      </c>
      <c r="B20" s="104">
        <v>3.3455999999999997</v>
      </c>
      <c r="C20" s="104">
        <v>2.4596</v>
      </c>
      <c r="D20" s="104">
        <v>1.9223999999999999</v>
      </c>
      <c r="E20">
        <f t="shared" si="0"/>
        <v>0.7186883979398403</v>
      </c>
    </row>
    <row r="21" spans="1:5">
      <c r="A21" s="40" t="s">
        <v>361</v>
      </c>
      <c r="B21" s="104">
        <v>3.3455999999999997</v>
      </c>
      <c r="C21" s="104">
        <v>2.4596</v>
      </c>
      <c r="D21" s="104">
        <v>1.9223999999999999</v>
      </c>
      <c r="E21">
        <f t="shared" si="0"/>
        <v>0.7186883979398403</v>
      </c>
    </row>
    <row r="22" spans="1:5">
      <c r="A22" s="40" t="s">
        <v>362</v>
      </c>
      <c r="B22" s="104">
        <v>3.28</v>
      </c>
      <c r="C22" s="104">
        <v>2.1736</v>
      </c>
      <c r="D22" s="104">
        <v>1.3083</v>
      </c>
      <c r="E22">
        <f t="shared" si="0"/>
        <v>0.98830376065930936</v>
      </c>
    </row>
    <row r="23" spans="1:5">
      <c r="A23" s="40" t="s">
        <v>363</v>
      </c>
      <c r="B23" s="104">
        <v>3.0175999999999998</v>
      </c>
      <c r="C23" s="104">
        <v>1.9448000000000001</v>
      </c>
      <c r="D23" s="104">
        <v>1.0680000000000001</v>
      </c>
      <c r="E23">
        <f t="shared" si="0"/>
        <v>0.97644066554672593</v>
      </c>
    </row>
    <row r="24" spans="1:5">
      <c r="A24" s="40" t="s">
        <v>364</v>
      </c>
      <c r="B24" s="104">
        <v>3.1159999999999997</v>
      </c>
      <c r="C24" s="104">
        <v>2.2307999999999999</v>
      </c>
      <c r="D24" s="104">
        <v>1.6820999999999999</v>
      </c>
      <c r="E24">
        <f t="shared" si="0"/>
        <v>0.72350074176418899</v>
      </c>
    </row>
    <row r="25" spans="1:5">
      <c r="A25" s="40" t="s">
        <v>365</v>
      </c>
      <c r="B25" s="104">
        <v>3.1159999999999997</v>
      </c>
      <c r="C25" s="104">
        <v>2.2307999999999999</v>
      </c>
      <c r="D25" s="104">
        <v>1.6820999999999999</v>
      </c>
      <c r="E25">
        <f t="shared" si="0"/>
        <v>0.72350074176418899</v>
      </c>
    </row>
    <row r="26" spans="1:5">
      <c r="A26" s="40" t="s">
        <v>366</v>
      </c>
      <c r="B26" s="104">
        <v>3.1815999999999995</v>
      </c>
      <c r="C26" s="104">
        <v>2.4882</v>
      </c>
      <c r="D26" s="104">
        <v>2.2961999999999998</v>
      </c>
      <c r="E26">
        <f t="shared" si="0"/>
        <v>0.46576115481363889</v>
      </c>
    </row>
    <row r="27" spans="1:5">
      <c r="A27" s="40" t="s">
        <v>367</v>
      </c>
      <c r="B27" s="104">
        <v>0.55759999999999998</v>
      </c>
      <c r="C27" s="104">
        <v>0.37180000000000002</v>
      </c>
      <c r="D27" s="104">
        <v>0</v>
      </c>
      <c r="E27">
        <f t="shared" si="0"/>
        <v>0.28392329950181971</v>
      </c>
    </row>
    <row r="28" spans="1:5">
      <c r="A28" s="40" t="s">
        <v>368</v>
      </c>
      <c r="B28" s="104">
        <v>0</v>
      </c>
      <c r="C28" s="104">
        <v>0</v>
      </c>
      <c r="D28" s="104">
        <v>0</v>
      </c>
      <c r="E28">
        <f t="shared" si="0"/>
        <v>0</v>
      </c>
    </row>
    <row r="29" spans="1:5">
      <c r="A29" s="40" t="s">
        <v>369</v>
      </c>
      <c r="B29" s="104">
        <v>6.5599999999999992E-2</v>
      </c>
      <c r="C29" s="104">
        <v>0.28599999999999998</v>
      </c>
      <c r="D29" s="104">
        <v>0.61409999999999998</v>
      </c>
      <c r="E29">
        <f t="shared" si="0"/>
        <v>0.27600664847064826</v>
      </c>
    </row>
    <row r="30" spans="1:5">
      <c r="A30" s="40" t="s">
        <v>370</v>
      </c>
      <c r="B30" s="104">
        <v>6.5599999999999992E-2</v>
      </c>
      <c r="C30" s="104">
        <v>0.28599999999999998</v>
      </c>
      <c r="D30" s="104">
        <v>0.61409999999999998</v>
      </c>
      <c r="E30">
        <f t="shared" si="0"/>
        <v>0.27600664847064826</v>
      </c>
    </row>
    <row r="31" spans="1:5">
      <c r="A31" s="40" t="s">
        <v>371</v>
      </c>
      <c r="B31" s="104" t="s">
        <v>347</v>
      </c>
      <c r="C31" s="104" t="s">
        <v>347</v>
      </c>
      <c r="D31" s="104" t="s">
        <v>347</v>
      </c>
      <c r="E31" t="e">
        <f t="shared" si="0"/>
        <v>#DIV/0!</v>
      </c>
    </row>
    <row r="32" spans="1:5">
      <c r="A32" s="40" t="s">
        <v>372</v>
      </c>
      <c r="B32" s="104">
        <v>0</v>
      </c>
      <c r="C32" s="104">
        <v>0</v>
      </c>
      <c r="D32" s="104">
        <v>0</v>
      </c>
      <c r="E32">
        <f t="shared" si="0"/>
        <v>0</v>
      </c>
    </row>
    <row r="33" spans="1:5">
      <c r="A33" s="40" t="s">
        <v>373</v>
      </c>
      <c r="B33" s="104">
        <v>0</v>
      </c>
      <c r="C33" s="104">
        <v>0</v>
      </c>
      <c r="D33" s="104">
        <v>0</v>
      </c>
      <c r="E33">
        <f t="shared" si="0"/>
        <v>0</v>
      </c>
    </row>
    <row r="34" spans="1:5">
      <c r="A34" s="40" t="s">
        <v>374</v>
      </c>
      <c r="B34" s="104">
        <v>0</v>
      </c>
      <c r="C34" s="104">
        <v>0</v>
      </c>
      <c r="D34" s="104">
        <v>0</v>
      </c>
      <c r="E34">
        <f t="shared" si="0"/>
        <v>0</v>
      </c>
    </row>
    <row r="35" spans="1:5">
      <c r="A35" s="40" t="s">
        <v>375</v>
      </c>
      <c r="B35" s="104">
        <v>3.2799999999999996E-2</v>
      </c>
      <c r="C35" s="104">
        <v>5.7200000000000001E-2</v>
      </c>
      <c r="D35" s="104">
        <v>5.3400000000000003E-2</v>
      </c>
      <c r="E35">
        <f t="shared" si="0"/>
        <v>1.3128594745821042E-2</v>
      </c>
    </row>
    <row r="36" spans="1:5">
      <c r="A36" s="40" t="s">
        <v>376</v>
      </c>
      <c r="B36" s="104">
        <v>3.2799999999999996E-2</v>
      </c>
      <c r="C36" s="104">
        <v>2.86E-2</v>
      </c>
      <c r="D36" s="104">
        <v>2.6700000000000002E-2</v>
      </c>
      <c r="E36">
        <f t="shared" si="0"/>
        <v>3.1214312956291887E-3</v>
      </c>
    </row>
    <row r="37" spans="1:5">
      <c r="A37" s="40" t="s">
        <v>377</v>
      </c>
      <c r="B37" s="104">
        <v>0.19679999999999997</v>
      </c>
      <c r="C37" s="104">
        <v>0.20020000000000002</v>
      </c>
      <c r="D37" s="104">
        <v>0.18690000000000001</v>
      </c>
      <c r="E37">
        <f t="shared" si="0"/>
        <v>6.9096550806341476E-3</v>
      </c>
    </row>
    <row r="38" spans="1:5">
      <c r="A38" s="40" t="s">
        <v>378</v>
      </c>
      <c r="B38" s="104">
        <v>9.8399999999999987E-2</v>
      </c>
      <c r="C38" s="104">
        <v>8.5799999999999987E-2</v>
      </c>
      <c r="D38" s="104">
        <v>8.0099999999999991E-2</v>
      </c>
      <c r="E38">
        <f t="shared" si="0"/>
        <v>9.364293886887573E-3</v>
      </c>
    </row>
    <row r="39" spans="1:5">
      <c r="A39" s="40" t="s">
        <v>379</v>
      </c>
      <c r="B39" s="104">
        <v>3.2799999999999996E-2</v>
      </c>
      <c r="C39" s="104">
        <v>2.86E-2</v>
      </c>
      <c r="D39" s="104">
        <v>2.6700000000000002E-2</v>
      </c>
      <c r="E39">
        <f t="shared" si="0"/>
        <v>3.1214312956291887E-3</v>
      </c>
    </row>
    <row r="40" spans="1:5">
      <c r="A40" s="40" t="s">
        <v>380</v>
      </c>
      <c r="B40" s="104">
        <v>0.29519999999999996</v>
      </c>
      <c r="C40" s="104">
        <v>0.28599999999999998</v>
      </c>
      <c r="D40" s="104">
        <v>0.29370000000000002</v>
      </c>
      <c r="E40">
        <f t="shared" si="0"/>
        <v>4.9359227438578656E-3</v>
      </c>
    </row>
    <row r="41" spans="1:5">
      <c r="A41" s="40" t="s">
        <v>381</v>
      </c>
      <c r="B41" s="104">
        <v>9.8399999999999987E-2</v>
      </c>
      <c r="C41" s="104">
        <v>0.1144</v>
      </c>
      <c r="D41" s="104">
        <v>0.10680000000000001</v>
      </c>
      <c r="E41">
        <f t="shared" si="0"/>
        <v>8.0033326391780978E-3</v>
      </c>
    </row>
    <row r="42" spans="1:5">
      <c r="A42" s="40" t="s">
        <v>382</v>
      </c>
      <c r="B42" s="104">
        <v>0.62319999999999998</v>
      </c>
      <c r="C42" s="104">
        <v>0.60059999999999991</v>
      </c>
      <c r="D42" s="104">
        <v>0.61409999999999998</v>
      </c>
      <c r="E42">
        <f t="shared" si="0"/>
        <v>1.1371162356299999E-2</v>
      </c>
    </row>
    <row r="43" spans="1:5">
      <c r="A43" s="40" t="s">
        <v>383</v>
      </c>
      <c r="B43" s="104">
        <v>0.82</v>
      </c>
      <c r="C43" s="104">
        <v>0.82939999999999992</v>
      </c>
      <c r="D43" s="104">
        <v>0.82769999999999999</v>
      </c>
      <c r="E43">
        <f t="shared" si="0"/>
        <v>5.0089919145472721E-3</v>
      </c>
    </row>
    <row r="44" spans="1:5">
      <c r="A44" s="40" t="s">
        <v>384</v>
      </c>
      <c r="B44" s="104">
        <v>0.39359999999999995</v>
      </c>
      <c r="C44" s="104">
        <v>0.40040000000000003</v>
      </c>
      <c r="D44" s="104">
        <v>0.40049999999999997</v>
      </c>
      <c r="E44">
        <f t="shared" si="0"/>
        <v>3.9551653989856805E-3</v>
      </c>
    </row>
    <row r="45" spans="1:5">
      <c r="A45" s="40" t="s">
        <v>385</v>
      </c>
      <c r="B45" s="104">
        <v>0.2296</v>
      </c>
      <c r="C45" s="104">
        <v>0.2288</v>
      </c>
      <c r="D45" s="104">
        <v>0.24029999999999999</v>
      </c>
      <c r="E45">
        <f t="shared" si="0"/>
        <v>6.4210591026714501E-3</v>
      </c>
    </row>
    <row r="46" spans="1:5" ht="17" thickBot="1">
      <c r="A46" s="45" t="s">
        <v>386</v>
      </c>
      <c r="B46" s="104">
        <v>10.364800000000001</v>
      </c>
      <c r="C46" s="104">
        <v>7.8649999999999993</v>
      </c>
      <c r="D46" s="104">
        <v>6.7283999999999997</v>
      </c>
      <c r="E46">
        <f t="shared" si="0"/>
        <v>1.8602985674348038</v>
      </c>
    </row>
    <row r="47" spans="1:5" ht="17" thickBot="1"/>
    <row r="48" spans="1:5" ht="17" thickBot="1">
      <c r="A48" s="50" t="s">
        <v>103</v>
      </c>
    </row>
    <row r="49" spans="1:1" ht="17" thickBot="1">
      <c r="A49" s="51" t="s">
        <v>401</v>
      </c>
    </row>
    <row r="50" spans="1:1">
      <c r="A50" s="52" t="s">
        <v>402</v>
      </c>
    </row>
    <row r="51" spans="1:1">
      <c r="A51" s="56" t="s">
        <v>403</v>
      </c>
    </row>
    <row r="52" spans="1:1">
      <c r="A52" s="52" t="s">
        <v>404</v>
      </c>
    </row>
    <row r="53" spans="1:1">
      <c r="A53" s="60"/>
    </row>
    <row r="54" spans="1:1">
      <c r="A54" s="52" t="s">
        <v>405</v>
      </c>
    </row>
    <row r="55" spans="1:1">
      <c r="A55" s="56" t="s">
        <v>406</v>
      </c>
    </row>
    <row r="56" spans="1:1">
      <c r="A56" s="52" t="s">
        <v>407</v>
      </c>
    </row>
    <row r="57" spans="1:1">
      <c r="A57" s="56" t="s">
        <v>408</v>
      </c>
    </row>
    <row r="58" spans="1:1">
      <c r="A58" s="52" t="s">
        <v>409</v>
      </c>
    </row>
    <row r="59" spans="1:1" ht="17" thickBot="1">
      <c r="A59" s="61" t="s">
        <v>410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53B4-D950-7D46-A145-A4708C31DE49}">
  <dimension ref="A1:AK10"/>
  <sheetViews>
    <sheetView workbookViewId="0">
      <selection activeCell="W20" sqref="W20"/>
    </sheetView>
  </sheetViews>
  <sheetFormatPr baseColWidth="10" defaultRowHeight="16"/>
  <sheetData>
    <row r="1" spans="1:37">
      <c r="A1" s="11" t="s">
        <v>103</v>
      </c>
      <c r="B1" s="12" t="s">
        <v>0</v>
      </c>
      <c r="C1" s="12" t="s">
        <v>66</v>
      </c>
      <c r="D1" s="12" t="s">
        <v>67</v>
      </c>
      <c r="E1" s="12" t="s">
        <v>68</v>
      </c>
      <c r="F1" s="12" t="s">
        <v>387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79</v>
      </c>
      <c r="R1" s="12" t="s">
        <v>80</v>
      </c>
      <c r="S1" s="12" t="s">
        <v>81</v>
      </c>
      <c r="T1" s="12" t="s">
        <v>82</v>
      </c>
      <c r="U1" s="12" t="s">
        <v>83</v>
      </c>
      <c r="V1" s="12" t="s">
        <v>84</v>
      </c>
      <c r="W1" s="12" t="s">
        <v>85</v>
      </c>
      <c r="X1" s="12" t="s">
        <v>86</v>
      </c>
      <c r="Y1" s="12" t="s">
        <v>87</v>
      </c>
      <c r="Z1" s="12" t="s">
        <v>88</v>
      </c>
      <c r="AA1" s="13"/>
      <c r="AB1" s="12" t="s">
        <v>93</v>
      </c>
      <c r="AC1" s="12" t="s">
        <v>94</v>
      </c>
      <c r="AD1" s="12" t="s">
        <v>95</v>
      </c>
      <c r="AE1" s="12" t="s">
        <v>96</v>
      </c>
      <c r="AF1" s="12" t="s">
        <v>388</v>
      </c>
      <c r="AG1" s="13"/>
      <c r="AH1" s="12" t="s">
        <v>101</v>
      </c>
      <c r="AI1" s="12" t="s">
        <v>339</v>
      </c>
      <c r="AJ1" s="12" t="s">
        <v>340</v>
      </c>
      <c r="AK1" s="14" t="s">
        <v>341</v>
      </c>
    </row>
    <row r="2" spans="1:37">
      <c r="A2" s="15"/>
      <c r="B2" s="16" t="s">
        <v>1</v>
      </c>
      <c r="C2" s="16" t="s">
        <v>3</v>
      </c>
      <c r="D2" s="16" t="s">
        <v>4</v>
      </c>
      <c r="E2" s="16" t="s">
        <v>5</v>
      </c>
      <c r="F2" s="16" t="s">
        <v>389</v>
      </c>
      <c r="G2" s="16" t="s">
        <v>89</v>
      </c>
      <c r="H2" s="16" t="s">
        <v>7</v>
      </c>
      <c r="I2" s="16" t="s">
        <v>8</v>
      </c>
      <c r="J2" s="16" t="s">
        <v>90</v>
      </c>
      <c r="K2" s="16" t="s">
        <v>91</v>
      </c>
      <c r="L2" s="16" t="s">
        <v>13</v>
      </c>
      <c r="M2" s="16" t="s">
        <v>92</v>
      </c>
      <c r="N2" s="16" t="s">
        <v>15</v>
      </c>
      <c r="O2" s="16" t="s">
        <v>16</v>
      </c>
      <c r="P2" s="16" t="s">
        <v>17</v>
      </c>
      <c r="Q2" s="16" t="s">
        <v>18</v>
      </c>
      <c r="R2" s="16" t="s">
        <v>19</v>
      </c>
      <c r="S2" s="16" t="s">
        <v>20</v>
      </c>
      <c r="T2" s="16" t="s">
        <v>21</v>
      </c>
      <c r="U2" s="16" t="s">
        <v>22</v>
      </c>
      <c r="V2" s="16" t="s">
        <v>23</v>
      </c>
      <c r="W2" s="16" t="s">
        <v>24</v>
      </c>
      <c r="X2" s="16" t="s">
        <v>25</v>
      </c>
      <c r="Y2" s="16" t="s">
        <v>26</v>
      </c>
      <c r="Z2" s="16" t="s">
        <v>27</v>
      </c>
      <c r="AA2" s="17"/>
      <c r="AB2" s="16" t="s">
        <v>97</v>
      </c>
      <c r="AC2" s="16" t="s">
        <v>98</v>
      </c>
      <c r="AD2" s="16" t="s">
        <v>99</v>
      </c>
      <c r="AE2" s="16" t="s">
        <v>100</v>
      </c>
      <c r="AF2" s="18"/>
      <c r="AG2" s="17"/>
      <c r="AH2" s="16" t="s">
        <v>102</v>
      </c>
      <c r="AI2" s="16" t="s">
        <v>342</v>
      </c>
      <c r="AJ2" s="16" t="s">
        <v>343</v>
      </c>
      <c r="AK2" s="19" t="s">
        <v>344</v>
      </c>
    </row>
    <row r="3" spans="1:37">
      <c r="A3" s="20" t="s">
        <v>390</v>
      </c>
      <c r="B3" s="21">
        <v>5.9899999999999997E-3</v>
      </c>
      <c r="C3" s="21">
        <v>7.43E-3</v>
      </c>
      <c r="D3" s="21">
        <v>8.9599999999999992E-3</v>
      </c>
      <c r="E3" s="21">
        <v>0.127</v>
      </c>
      <c r="F3" s="21">
        <v>1.6299999999999999E-2</v>
      </c>
      <c r="G3" s="21">
        <v>9.8300000000000002E-3</v>
      </c>
      <c r="H3" s="21">
        <v>1.04E-2</v>
      </c>
      <c r="I3" s="21">
        <v>7.2399999999999999E-3</v>
      </c>
      <c r="J3" s="21">
        <v>8.7900000000000006E-2</v>
      </c>
      <c r="K3" s="21">
        <v>4.6499999999999996E-3</v>
      </c>
      <c r="L3" s="21">
        <v>4.9399999999999999E-3</v>
      </c>
      <c r="M3" s="21">
        <v>1.2200000000000001E-2</v>
      </c>
      <c r="N3" s="21">
        <v>1.12E-2</v>
      </c>
      <c r="O3" s="21">
        <v>1.97E-3</v>
      </c>
      <c r="P3" s="21">
        <v>0</v>
      </c>
      <c r="Q3" s="21">
        <v>9.5899999999999996E-3</v>
      </c>
      <c r="R3" s="21">
        <v>6.9499999999999996E-3</v>
      </c>
      <c r="S3" s="21">
        <v>1.5100000000000001E-2</v>
      </c>
      <c r="T3" s="21">
        <v>3.4499999999999999E-3</v>
      </c>
      <c r="U3" s="21">
        <v>9.2999999999999992E-3</v>
      </c>
      <c r="V3" s="21">
        <v>9.0100000000000006E-3</v>
      </c>
      <c r="W3" s="21">
        <v>5.7000000000000002E-3</v>
      </c>
      <c r="X3" s="21">
        <v>8.5299999999999994E-3</v>
      </c>
      <c r="Y3" s="21">
        <v>9.92E-3</v>
      </c>
      <c r="Z3" s="21">
        <v>9.5399999999999999E-3</v>
      </c>
      <c r="AA3" s="22"/>
      <c r="AB3" s="21">
        <v>3.31E-3</v>
      </c>
      <c r="AC3" s="21">
        <v>4.5500000000000002E-3</v>
      </c>
      <c r="AD3" s="21">
        <v>4.0699999999999998E-3</v>
      </c>
      <c r="AE3" s="21">
        <v>0.67900000000000005</v>
      </c>
      <c r="AF3" s="22"/>
      <c r="AG3" s="22"/>
      <c r="AH3" s="21">
        <v>6.3299999999999997E-3</v>
      </c>
      <c r="AI3" s="21">
        <v>1.0500000000000001E-2</v>
      </c>
      <c r="AJ3" s="21">
        <v>1.41E-2</v>
      </c>
      <c r="AK3" s="23">
        <v>4.5100000000000001E-3</v>
      </c>
    </row>
    <row r="4" spans="1:37">
      <c r="A4" s="20" t="s">
        <v>391</v>
      </c>
      <c r="B4" s="24">
        <v>0</v>
      </c>
      <c r="C4" s="24">
        <v>0</v>
      </c>
      <c r="D4" s="24">
        <v>0</v>
      </c>
      <c r="E4" s="24">
        <v>2.35E-2</v>
      </c>
      <c r="F4" s="24">
        <v>3.6499999999999998E-2</v>
      </c>
      <c r="G4" s="24">
        <v>0</v>
      </c>
      <c r="H4" s="24">
        <v>8.9999999999999993E-3</v>
      </c>
      <c r="I4" s="24">
        <v>0</v>
      </c>
      <c r="J4" s="24">
        <v>1.5E-3</v>
      </c>
      <c r="K4" s="24">
        <v>1.7999999999999999E-2</v>
      </c>
      <c r="L4" s="24">
        <v>1.6500000000000001E-2</v>
      </c>
      <c r="M4" s="24">
        <v>0</v>
      </c>
      <c r="N4" s="24">
        <v>0</v>
      </c>
      <c r="O4" s="24">
        <v>0</v>
      </c>
      <c r="P4" s="24">
        <v>0</v>
      </c>
      <c r="Q4" s="24">
        <v>9.5000000000000001E-2</v>
      </c>
      <c r="R4" s="24">
        <v>0</v>
      </c>
      <c r="S4" s="24">
        <v>8.9999999999999993E-3</v>
      </c>
      <c r="T4" s="24">
        <v>0.32400000000000001</v>
      </c>
      <c r="U4" s="24">
        <v>0</v>
      </c>
      <c r="V4" s="24">
        <v>7.2499999999999995E-2</v>
      </c>
      <c r="W4" s="24">
        <v>0</v>
      </c>
      <c r="X4" s="24">
        <v>0</v>
      </c>
      <c r="Y4" s="24">
        <v>0</v>
      </c>
      <c r="Z4" s="24">
        <v>0</v>
      </c>
      <c r="AA4" s="25"/>
      <c r="AB4" s="24">
        <v>0</v>
      </c>
      <c r="AC4" s="24">
        <v>8.0000000000000002E-3</v>
      </c>
      <c r="AD4" s="24">
        <v>0.49</v>
      </c>
      <c r="AE4" s="24">
        <v>0.248</v>
      </c>
      <c r="AF4" s="25"/>
      <c r="AG4" s="25"/>
      <c r="AH4" s="24">
        <v>0</v>
      </c>
      <c r="AI4" s="24">
        <v>2.9499999999999998E-2</v>
      </c>
      <c r="AJ4" s="24">
        <v>1.4500000000000001E-2</v>
      </c>
      <c r="AK4" s="26">
        <v>6.0000000000000001E-3</v>
      </c>
    </row>
    <row r="5" spans="1:37">
      <c r="A5" s="20" t="s">
        <v>392</v>
      </c>
      <c r="B5" s="21">
        <v>6.4900000000000001E-3</v>
      </c>
      <c r="C5" s="21">
        <v>3.7100000000000002E-3</v>
      </c>
      <c r="D5" s="21">
        <v>5.8999999999999999E-3</v>
      </c>
      <c r="E5" s="21">
        <v>4.1700000000000001E-3</v>
      </c>
      <c r="F5" s="21">
        <v>0</v>
      </c>
      <c r="G5" s="21">
        <v>3.2200000000000002E-3</v>
      </c>
      <c r="H5" s="21">
        <v>5.3400000000000001E-3</v>
      </c>
      <c r="I5" s="21">
        <v>3.5000000000000001E-3</v>
      </c>
      <c r="J5" s="21">
        <v>4.64E-3</v>
      </c>
      <c r="K5" s="21">
        <v>3.6900000000000001E-3</v>
      </c>
      <c r="L5" s="21">
        <v>0</v>
      </c>
      <c r="M5" s="21">
        <v>0</v>
      </c>
      <c r="N5" s="21">
        <v>8.94E-3</v>
      </c>
      <c r="O5" s="21">
        <v>4.9500000000000004E-3</v>
      </c>
      <c r="P5" s="21">
        <v>6.1000000000000004E-3</v>
      </c>
      <c r="Q5" s="21">
        <v>0</v>
      </c>
      <c r="R5" s="21">
        <v>1.44E-2</v>
      </c>
      <c r="S5" s="21">
        <v>5.0600000000000003E-3</v>
      </c>
      <c r="T5" s="21">
        <v>8.5000000000000006E-3</v>
      </c>
      <c r="U5" s="21">
        <v>5.7999999999999996E-3</v>
      </c>
      <c r="V5" s="21">
        <v>0</v>
      </c>
      <c r="W5" s="21">
        <v>9.4999999999999998E-3</v>
      </c>
      <c r="X5" s="21">
        <v>0</v>
      </c>
      <c r="Y5" s="21">
        <v>4.8999999999999998E-3</v>
      </c>
      <c r="Z5" s="21">
        <v>5.3200000000000001E-3</v>
      </c>
      <c r="AA5" s="22"/>
      <c r="AB5" s="21">
        <v>4.79E-3</v>
      </c>
      <c r="AC5" s="21">
        <v>2.4199999999999999E-2</v>
      </c>
      <c r="AD5" s="21">
        <v>1.64</v>
      </c>
      <c r="AE5" s="21">
        <v>3.12</v>
      </c>
      <c r="AF5" s="22"/>
      <c r="AG5" s="22"/>
      <c r="AH5" s="21">
        <v>3.0400000000000002E-4</v>
      </c>
      <c r="AI5" s="21">
        <v>0</v>
      </c>
      <c r="AJ5" s="21">
        <v>5.7499999999999999E-3</v>
      </c>
      <c r="AK5" s="23">
        <v>4.47E-3</v>
      </c>
    </row>
    <row r="6" spans="1:37">
      <c r="A6" s="20" t="s">
        <v>393</v>
      </c>
      <c r="B6" s="24">
        <v>0</v>
      </c>
      <c r="C6" s="24">
        <v>2.13E-4</v>
      </c>
      <c r="D6" s="24">
        <v>1.4200000000000001E-4</v>
      </c>
      <c r="E6" s="24">
        <v>0</v>
      </c>
      <c r="F6" s="24">
        <v>0</v>
      </c>
      <c r="G6" s="24">
        <v>0</v>
      </c>
      <c r="H6" s="24">
        <v>0</v>
      </c>
      <c r="I6" s="24">
        <v>4.9799999999999996E-4</v>
      </c>
      <c r="J6" s="24">
        <v>9.2400000000000002E-4</v>
      </c>
      <c r="K6" s="24">
        <v>4.9799999999999996E-4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3.2000000000000002E-3</v>
      </c>
      <c r="S6" s="24">
        <v>0</v>
      </c>
      <c r="T6" s="24">
        <v>1.0500000000000001E-2</v>
      </c>
      <c r="U6" s="24">
        <v>0</v>
      </c>
      <c r="V6" s="24">
        <v>0</v>
      </c>
      <c r="W6" s="24">
        <v>0</v>
      </c>
      <c r="X6" s="24">
        <v>0</v>
      </c>
      <c r="Y6" s="24">
        <v>3.4399999999999999E-3</v>
      </c>
      <c r="Z6" s="24">
        <v>0</v>
      </c>
      <c r="AA6" s="25"/>
      <c r="AB6" s="24">
        <v>0</v>
      </c>
      <c r="AC6" s="24">
        <v>0</v>
      </c>
      <c r="AD6" s="24">
        <v>0</v>
      </c>
      <c r="AE6" s="24">
        <v>6.6800000000000002E-3</v>
      </c>
      <c r="AF6" s="25"/>
      <c r="AG6" s="25"/>
      <c r="AH6" s="24">
        <v>0</v>
      </c>
      <c r="AI6" s="24">
        <v>0</v>
      </c>
      <c r="AJ6" s="24">
        <v>0</v>
      </c>
      <c r="AK6" s="26">
        <v>0</v>
      </c>
    </row>
    <row r="7" spans="1:37">
      <c r="A7" s="20" t="s">
        <v>394</v>
      </c>
      <c r="B7" s="21">
        <v>0</v>
      </c>
      <c r="C7" s="21">
        <v>1.3600000000000001E-3</v>
      </c>
      <c r="D7" s="21">
        <v>0</v>
      </c>
      <c r="E7" s="21">
        <v>2.15E-3</v>
      </c>
      <c r="F7" s="21">
        <v>2.65E-3</v>
      </c>
      <c r="G7" s="21">
        <v>9.8700000000000003E-4</v>
      </c>
      <c r="H7" s="21">
        <v>1.2899999999999999E-3</v>
      </c>
      <c r="I7" s="21">
        <v>7.8899999999999999E-4</v>
      </c>
      <c r="J7" s="21">
        <v>1.2899999999999999E-3</v>
      </c>
      <c r="K7" s="21">
        <v>2.5100000000000001E-3</v>
      </c>
      <c r="L7" s="21">
        <v>2.8699999999999998E-4</v>
      </c>
      <c r="M7" s="21">
        <v>4.3E-3</v>
      </c>
      <c r="N7" s="21">
        <v>2.7499999999999998E-3</v>
      </c>
      <c r="O7" s="21">
        <v>1.08E-3</v>
      </c>
      <c r="P7" s="21">
        <v>1.8699999999999999E-3</v>
      </c>
      <c r="Q7" s="21">
        <v>6.3400000000000001E-3</v>
      </c>
      <c r="R7" s="21">
        <v>6.8199999999999997E-3</v>
      </c>
      <c r="S7" s="21">
        <v>1.15E-3</v>
      </c>
      <c r="T7" s="21">
        <v>3.3700000000000001E-2</v>
      </c>
      <c r="U7" s="21">
        <v>3.09E-2</v>
      </c>
      <c r="V7" s="21">
        <v>1.14E-2</v>
      </c>
      <c r="W7" s="21">
        <v>2.15E-3</v>
      </c>
      <c r="X7" s="21">
        <v>0</v>
      </c>
      <c r="Y7" s="21">
        <v>4.3E-3</v>
      </c>
      <c r="Z7" s="21">
        <v>1.5499999999999999E-3</v>
      </c>
      <c r="AA7" s="22"/>
      <c r="AB7" s="21">
        <v>1E-3</v>
      </c>
      <c r="AC7" s="21">
        <v>1E-3</v>
      </c>
      <c r="AD7" s="21">
        <v>0</v>
      </c>
      <c r="AE7" s="21">
        <v>1.7899999999999999E-4</v>
      </c>
      <c r="AF7" s="22"/>
      <c r="AG7" s="22"/>
      <c r="AH7" s="21">
        <v>2.63E-3</v>
      </c>
      <c r="AI7" s="21">
        <v>0</v>
      </c>
      <c r="AJ7" s="21">
        <v>1.72E-3</v>
      </c>
      <c r="AK7" s="23">
        <v>4.4799999999999999E-4</v>
      </c>
    </row>
    <row r="8" spans="1:37">
      <c r="A8" s="20" t="s">
        <v>111</v>
      </c>
      <c r="B8" s="24">
        <v>2.2700000000000001E-2</v>
      </c>
      <c r="C8" s="24">
        <v>5.8500000000000002E-3</v>
      </c>
      <c r="D8" s="24">
        <v>2.92E-2</v>
      </c>
      <c r="E8" s="24">
        <v>7.3099999999999997E-3</v>
      </c>
      <c r="F8" s="24">
        <v>7.7999999999999996E-3</v>
      </c>
      <c r="G8" s="24">
        <v>8.77E-3</v>
      </c>
      <c r="H8" s="24">
        <v>8.14E-2</v>
      </c>
      <c r="I8" s="24">
        <v>0</v>
      </c>
      <c r="J8" s="24">
        <v>0</v>
      </c>
      <c r="K8" s="24">
        <v>2.4399999999999999E-3</v>
      </c>
      <c r="L8" s="24">
        <v>1.61E-2</v>
      </c>
      <c r="M8" s="24">
        <v>0</v>
      </c>
      <c r="N8" s="24">
        <v>1.46E-2</v>
      </c>
      <c r="O8" s="24">
        <v>4.3E-3</v>
      </c>
      <c r="P8" s="24">
        <v>0</v>
      </c>
      <c r="Q8" s="24">
        <v>0</v>
      </c>
      <c r="R8" s="24">
        <v>0</v>
      </c>
      <c r="S8" s="24">
        <v>1.9499999999999999E-3</v>
      </c>
      <c r="T8" s="24">
        <v>2.2700000000000001E-2</v>
      </c>
      <c r="U8" s="24">
        <v>0</v>
      </c>
      <c r="V8" s="24">
        <v>3.9800000000000002E-2</v>
      </c>
      <c r="W8" s="24">
        <v>0</v>
      </c>
      <c r="X8" s="24">
        <v>0</v>
      </c>
      <c r="Y8" s="24">
        <v>1.15E-2</v>
      </c>
      <c r="Z8" s="24">
        <v>1.04E-2</v>
      </c>
      <c r="AA8" s="25"/>
      <c r="AB8" s="24">
        <v>6.8199999999999997E-3</v>
      </c>
      <c r="AC8" s="24">
        <v>1.61E-2</v>
      </c>
      <c r="AD8" s="24">
        <v>0</v>
      </c>
      <c r="AE8" s="24">
        <v>0</v>
      </c>
      <c r="AF8" s="25"/>
      <c r="AG8" s="25"/>
      <c r="AH8" s="24">
        <v>3.4099999999999998E-3</v>
      </c>
      <c r="AI8" s="24">
        <v>2.7300000000000001E-2</v>
      </c>
      <c r="AJ8" s="24">
        <v>8.77E-3</v>
      </c>
      <c r="AK8" s="26">
        <v>0</v>
      </c>
    </row>
    <row r="9" spans="1:37">
      <c r="A9" s="20" t="s">
        <v>104</v>
      </c>
      <c r="B9" s="21">
        <v>6.28E-3</v>
      </c>
      <c r="C9" s="21">
        <v>4.9500000000000004E-3</v>
      </c>
      <c r="D9" s="21">
        <v>2.7299999999999998E-3</v>
      </c>
      <c r="E9" s="21">
        <v>2.9199999999999999E-3</v>
      </c>
      <c r="F9" s="21">
        <v>4.2599999999999999E-3</v>
      </c>
      <c r="G9" s="21">
        <v>1.7799999999999999E-3</v>
      </c>
      <c r="H9" s="21">
        <v>1.9300000000000001E-3</v>
      </c>
      <c r="I9" s="21">
        <v>4.0600000000000002E-3</v>
      </c>
      <c r="J9" s="21">
        <v>2.9199999999999999E-3</v>
      </c>
      <c r="K9" s="21">
        <v>6.5900000000000004E-3</v>
      </c>
      <c r="L9" s="21">
        <v>4.0600000000000002E-3</v>
      </c>
      <c r="M9" s="21">
        <v>2.0600000000000002E-3</v>
      </c>
      <c r="N9" s="21">
        <v>3.3899999999999998E-3</v>
      </c>
      <c r="O9" s="21">
        <v>1.32E-3</v>
      </c>
      <c r="P9" s="21">
        <v>4.0499999999999998E-3</v>
      </c>
      <c r="Q9" s="21">
        <v>4.2900000000000004E-3</v>
      </c>
      <c r="R9" s="21">
        <v>0</v>
      </c>
      <c r="S9" s="21">
        <v>1.8799999999999999E-3</v>
      </c>
      <c r="T9" s="21">
        <v>8.6700000000000006E-3</v>
      </c>
      <c r="U9" s="21">
        <v>7.6E-3</v>
      </c>
      <c r="V9" s="21">
        <v>9.4999999999999998E-3</v>
      </c>
      <c r="W9" s="21">
        <v>6.1900000000000002E-3</v>
      </c>
      <c r="X9" s="21">
        <v>4.2100000000000002E-3</v>
      </c>
      <c r="Y9" s="21">
        <v>0</v>
      </c>
      <c r="Z9" s="21">
        <v>1.65E-3</v>
      </c>
      <c r="AA9" s="22"/>
      <c r="AB9" s="21">
        <v>1.2899999999999999E-3</v>
      </c>
      <c r="AC9" s="21">
        <v>2.1800000000000001E-3</v>
      </c>
      <c r="AD9" s="21">
        <v>3.6700000000000001E-3</v>
      </c>
      <c r="AE9" s="21">
        <v>9.0200000000000002E-3</v>
      </c>
      <c r="AF9" s="22"/>
      <c r="AG9" s="22"/>
      <c r="AH9" s="21">
        <v>7.4299999999999995E-4</v>
      </c>
      <c r="AI9" s="21">
        <v>3.7699999999999999E-3</v>
      </c>
      <c r="AJ9" s="21">
        <v>7.9299999999999998E-4</v>
      </c>
      <c r="AK9" s="23">
        <v>1.5399999999999999E-3</v>
      </c>
    </row>
    <row r="10" spans="1:37" ht="17" thickBot="1">
      <c r="A10" s="27" t="s">
        <v>395</v>
      </c>
      <c r="B10" s="28">
        <v>0</v>
      </c>
      <c r="C10" s="28">
        <v>1.95E-2</v>
      </c>
      <c r="D10" s="28">
        <v>0</v>
      </c>
      <c r="E10" s="28">
        <v>1.6799999999999999E-2</v>
      </c>
      <c r="F10" s="28">
        <v>1.16E-3</v>
      </c>
      <c r="G10" s="28">
        <v>2.42E-4</v>
      </c>
      <c r="H10" s="28">
        <v>0</v>
      </c>
      <c r="I10" s="28">
        <v>0</v>
      </c>
      <c r="J10" s="28">
        <v>0</v>
      </c>
      <c r="K10" s="28">
        <v>5.2299999999999999E-2</v>
      </c>
      <c r="L10" s="28">
        <v>0</v>
      </c>
      <c r="M10" s="28">
        <v>0</v>
      </c>
      <c r="N10" s="28">
        <v>8.3099999999999997E-3</v>
      </c>
      <c r="O10" s="28">
        <v>2.8200000000000002E-4</v>
      </c>
      <c r="P10" s="28">
        <v>0</v>
      </c>
      <c r="Q10" s="28">
        <v>0</v>
      </c>
      <c r="R10" s="28">
        <v>1.9300000000000001E-2</v>
      </c>
      <c r="S10" s="28">
        <v>2.5899999999999999E-2</v>
      </c>
      <c r="T10" s="28">
        <v>3.6200000000000003E-2</v>
      </c>
      <c r="U10" s="28">
        <v>8.0400000000000003E-3</v>
      </c>
      <c r="V10" s="28">
        <v>1.9400000000000001E-3</v>
      </c>
      <c r="W10" s="28">
        <v>5.7299999999999999E-3</v>
      </c>
      <c r="X10" s="28">
        <v>4.3600000000000002E-3</v>
      </c>
      <c r="Y10" s="28">
        <v>4.84E-4</v>
      </c>
      <c r="Z10" s="28">
        <v>1.2099999999999999E-3</v>
      </c>
      <c r="AA10" s="29"/>
      <c r="AB10" s="28">
        <v>0</v>
      </c>
      <c r="AC10" s="28">
        <v>1.3100000000000001E-2</v>
      </c>
      <c r="AD10" s="28">
        <v>0.42199999999999999</v>
      </c>
      <c r="AE10" s="28">
        <v>0.129</v>
      </c>
      <c r="AF10" s="29"/>
      <c r="AG10" s="29"/>
      <c r="AH10" s="28">
        <v>0</v>
      </c>
      <c r="AI10" s="28">
        <v>0</v>
      </c>
      <c r="AJ10" s="28">
        <v>0</v>
      </c>
      <c r="AK10" s="30">
        <v>0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50ED-7713-6743-A75E-6D82F1F7009E}">
  <dimension ref="A1:AD9"/>
  <sheetViews>
    <sheetView topLeftCell="N1" workbookViewId="0">
      <selection activeCell="AE1" sqref="AE1:AG1048576"/>
    </sheetView>
  </sheetViews>
  <sheetFormatPr baseColWidth="10" defaultRowHeight="16"/>
  <sheetData>
    <row r="1" spans="1:30">
      <c r="A1" s="15"/>
      <c r="B1" s="31" t="s">
        <v>66</v>
      </c>
      <c r="C1" s="32" t="s">
        <v>67</v>
      </c>
      <c r="D1" s="32" t="s">
        <v>68</v>
      </c>
      <c r="E1" s="32" t="s">
        <v>69</v>
      </c>
      <c r="F1" s="32" t="s">
        <v>70</v>
      </c>
      <c r="G1" s="32" t="s">
        <v>71</v>
      </c>
      <c r="H1" s="32" t="s">
        <v>72</v>
      </c>
      <c r="I1" s="32" t="s">
        <v>74</v>
      </c>
      <c r="J1" s="32" t="s">
        <v>75</v>
      </c>
      <c r="K1" s="32" t="s">
        <v>76</v>
      </c>
      <c r="L1" s="32" t="s">
        <v>77</v>
      </c>
      <c r="M1" s="32" t="s">
        <v>78</v>
      </c>
      <c r="N1" s="32" t="s">
        <v>79</v>
      </c>
      <c r="O1" s="32" t="s">
        <v>80</v>
      </c>
      <c r="P1" s="32" t="s">
        <v>81</v>
      </c>
      <c r="Q1" s="32" t="s">
        <v>82</v>
      </c>
      <c r="R1" s="32" t="s">
        <v>83</v>
      </c>
      <c r="S1" s="32" t="s">
        <v>84</v>
      </c>
      <c r="T1" s="32" t="s">
        <v>85</v>
      </c>
      <c r="U1" s="32" t="s">
        <v>86</v>
      </c>
      <c r="V1" s="32" t="s">
        <v>87</v>
      </c>
      <c r="W1" s="33" t="s">
        <v>88</v>
      </c>
      <c r="X1" s="31" t="s">
        <v>93</v>
      </c>
      <c r="Y1" s="32" t="s">
        <v>94</v>
      </c>
      <c r="Z1" s="32" t="s">
        <v>95</v>
      </c>
      <c r="AA1" s="33" t="s">
        <v>96</v>
      </c>
      <c r="AB1" s="31" t="s">
        <v>101</v>
      </c>
      <c r="AC1" s="32" t="s">
        <v>340</v>
      </c>
      <c r="AD1" s="33" t="s">
        <v>341</v>
      </c>
    </row>
    <row r="2" spans="1:30">
      <c r="A2" s="20" t="s">
        <v>390</v>
      </c>
      <c r="B2" s="21">
        <v>5.9899999999999997E-3</v>
      </c>
      <c r="C2" s="21">
        <v>7.43E-3</v>
      </c>
      <c r="D2" s="21">
        <v>8.9599999999999992E-3</v>
      </c>
      <c r="E2" s="21">
        <v>0.127</v>
      </c>
      <c r="F2" s="21">
        <v>9.8300000000000002E-3</v>
      </c>
      <c r="G2" s="21">
        <v>1.04E-2</v>
      </c>
      <c r="H2" s="21">
        <v>7.2399999999999999E-3</v>
      </c>
      <c r="I2" s="21">
        <v>8.7900000000000006E-2</v>
      </c>
      <c r="J2" s="21">
        <v>4.6499999999999996E-3</v>
      </c>
      <c r="K2" s="21">
        <v>4.9399999999999999E-3</v>
      </c>
      <c r="L2" s="21">
        <v>1.2200000000000001E-2</v>
      </c>
      <c r="M2" s="21">
        <v>1.12E-2</v>
      </c>
      <c r="N2" s="21">
        <v>1.97E-3</v>
      </c>
      <c r="O2" s="21">
        <v>0</v>
      </c>
      <c r="P2" s="21">
        <v>9.5899999999999996E-3</v>
      </c>
      <c r="Q2" s="21">
        <v>6.9499999999999996E-3</v>
      </c>
      <c r="R2" s="21">
        <v>1.5100000000000001E-2</v>
      </c>
      <c r="S2" s="21">
        <v>3.4499999999999999E-3</v>
      </c>
      <c r="T2" s="21">
        <v>9.2999999999999992E-3</v>
      </c>
      <c r="U2" s="21">
        <v>9.0100000000000006E-3</v>
      </c>
      <c r="V2" s="21">
        <v>5.7000000000000002E-3</v>
      </c>
      <c r="W2" s="21">
        <v>8.5299999999999994E-3</v>
      </c>
      <c r="X2" s="21">
        <v>9.92E-3</v>
      </c>
      <c r="Y2" s="21">
        <v>9.5399999999999999E-3</v>
      </c>
      <c r="Z2" s="21">
        <v>3.31E-3</v>
      </c>
      <c r="AA2" s="21">
        <v>4.5500000000000002E-3</v>
      </c>
      <c r="AB2" s="21">
        <v>4.0699999999999998E-3</v>
      </c>
      <c r="AC2" s="21">
        <v>0.67900000000000005</v>
      </c>
      <c r="AD2" s="21">
        <v>6.3299999999999997E-3</v>
      </c>
    </row>
    <row r="3" spans="1:30">
      <c r="A3" s="20" t="s">
        <v>391</v>
      </c>
      <c r="B3" s="24">
        <v>0</v>
      </c>
      <c r="C3" s="24">
        <v>0</v>
      </c>
      <c r="D3" s="24">
        <v>0</v>
      </c>
      <c r="E3" s="24">
        <v>2.35E-2</v>
      </c>
      <c r="F3" s="24">
        <v>0</v>
      </c>
      <c r="G3" s="24">
        <v>8.9999999999999993E-3</v>
      </c>
      <c r="H3" s="24">
        <v>0</v>
      </c>
      <c r="I3" s="24">
        <v>1.5E-3</v>
      </c>
      <c r="J3" s="24">
        <v>1.7999999999999999E-2</v>
      </c>
      <c r="K3" s="24">
        <v>1.6500000000000001E-2</v>
      </c>
      <c r="L3" s="24">
        <v>0</v>
      </c>
      <c r="M3" s="24">
        <v>0</v>
      </c>
      <c r="N3" s="24">
        <v>0</v>
      </c>
      <c r="O3" s="24">
        <v>0</v>
      </c>
      <c r="P3" s="24">
        <v>9.5000000000000001E-2</v>
      </c>
      <c r="Q3" s="24">
        <v>0</v>
      </c>
      <c r="R3" s="24">
        <v>8.9999999999999993E-3</v>
      </c>
      <c r="S3" s="24">
        <v>0.32400000000000001</v>
      </c>
      <c r="T3" s="24">
        <v>0</v>
      </c>
      <c r="U3" s="24">
        <v>7.2499999999999995E-2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8.0000000000000002E-3</v>
      </c>
      <c r="AB3" s="24">
        <v>0.49</v>
      </c>
      <c r="AC3" s="24">
        <v>0.248</v>
      </c>
      <c r="AD3" s="24">
        <v>0</v>
      </c>
    </row>
    <row r="4" spans="1:30">
      <c r="A4" s="20" t="s">
        <v>392</v>
      </c>
      <c r="B4" s="21">
        <v>6.4900000000000001E-3</v>
      </c>
      <c r="C4" s="21">
        <v>3.7100000000000002E-3</v>
      </c>
      <c r="D4" s="21">
        <v>5.8999999999999999E-3</v>
      </c>
      <c r="E4" s="21">
        <v>4.1700000000000001E-3</v>
      </c>
      <c r="F4" s="21">
        <v>3.2200000000000002E-3</v>
      </c>
      <c r="G4" s="21">
        <v>5.3400000000000001E-3</v>
      </c>
      <c r="H4" s="21">
        <v>3.5000000000000001E-3</v>
      </c>
      <c r="I4" s="21">
        <v>4.64E-3</v>
      </c>
      <c r="J4" s="21">
        <v>3.6900000000000001E-3</v>
      </c>
      <c r="K4" s="21">
        <v>0</v>
      </c>
      <c r="L4" s="21">
        <v>0</v>
      </c>
      <c r="M4" s="21">
        <v>8.94E-3</v>
      </c>
      <c r="N4" s="21">
        <v>4.9500000000000004E-3</v>
      </c>
      <c r="O4" s="21">
        <v>6.1000000000000004E-3</v>
      </c>
      <c r="P4" s="21">
        <v>0</v>
      </c>
      <c r="Q4" s="21">
        <v>1.44E-2</v>
      </c>
      <c r="R4" s="21">
        <v>5.0600000000000003E-3</v>
      </c>
      <c r="S4" s="21">
        <v>8.5000000000000006E-3</v>
      </c>
      <c r="T4" s="21">
        <v>5.7999999999999996E-3</v>
      </c>
      <c r="U4" s="21">
        <v>0</v>
      </c>
      <c r="V4" s="21">
        <v>9.4999999999999998E-3</v>
      </c>
      <c r="W4" s="21">
        <v>0</v>
      </c>
      <c r="X4" s="21">
        <v>4.8999999999999998E-3</v>
      </c>
      <c r="Y4" s="21">
        <v>5.3200000000000001E-3</v>
      </c>
      <c r="Z4" s="21">
        <v>4.79E-3</v>
      </c>
      <c r="AA4" s="21">
        <v>2.4199999999999999E-2</v>
      </c>
      <c r="AB4" s="21">
        <v>1.64</v>
      </c>
      <c r="AC4" s="21">
        <v>3.12</v>
      </c>
      <c r="AD4" s="21">
        <v>3.0400000000000002E-4</v>
      </c>
    </row>
    <row r="5" spans="1:30">
      <c r="A5" s="20" t="s">
        <v>393</v>
      </c>
      <c r="B5" s="24">
        <v>0</v>
      </c>
      <c r="C5" s="24">
        <v>2.13E-4</v>
      </c>
      <c r="D5" s="24">
        <v>1.4200000000000001E-4</v>
      </c>
      <c r="E5" s="24">
        <v>0</v>
      </c>
      <c r="F5" s="24">
        <v>0</v>
      </c>
      <c r="G5" s="24">
        <v>0</v>
      </c>
      <c r="H5" s="24">
        <v>4.9799999999999996E-4</v>
      </c>
      <c r="I5" s="24">
        <v>9.2400000000000002E-4</v>
      </c>
      <c r="J5" s="24">
        <v>4.9799999999999996E-4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3.2000000000000002E-3</v>
      </c>
      <c r="R5" s="24">
        <v>0</v>
      </c>
      <c r="S5" s="24">
        <v>1.0500000000000001E-2</v>
      </c>
      <c r="T5" s="24">
        <v>0</v>
      </c>
      <c r="U5" s="24">
        <v>0</v>
      </c>
      <c r="V5" s="24">
        <v>0</v>
      </c>
      <c r="W5" s="24">
        <v>0</v>
      </c>
      <c r="X5" s="24">
        <v>3.4399999999999999E-3</v>
      </c>
      <c r="Y5" s="24">
        <v>0</v>
      </c>
      <c r="Z5" s="24">
        <v>0</v>
      </c>
      <c r="AA5" s="24">
        <v>0</v>
      </c>
      <c r="AB5" s="24">
        <v>0</v>
      </c>
      <c r="AC5" s="24">
        <v>6.6800000000000002E-3</v>
      </c>
      <c r="AD5" s="24">
        <v>0</v>
      </c>
    </row>
    <row r="6" spans="1:30">
      <c r="A6" s="20" t="s">
        <v>394</v>
      </c>
      <c r="B6" s="21">
        <v>0</v>
      </c>
      <c r="C6" s="21">
        <v>1.3600000000000001E-3</v>
      </c>
      <c r="D6" s="21">
        <v>0</v>
      </c>
      <c r="E6" s="21">
        <v>2.15E-3</v>
      </c>
      <c r="F6" s="21">
        <v>9.8700000000000003E-4</v>
      </c>
      <c r="G6" s="21">
        <v>1.2899999999999999E-3</v>
      </c>
      <c r="H6" s="21">
        <v>7.8899999999999999E-4</v>
      </c>
      <c r="I6" s="21">
        <v>1.2899999999999999E-3</v>
      </c>
      <c r="J6" s="21">
        <v>2.5100000000000001E-3</v>
      </c>
      <c r="K6" s="21">
        <v>2.8699999999999998E-4</v>
      </c>
      <c r="L6" s="21">
        <v>4.3E-3</v>
      </c>
      <c r="M6" s="21">
        <v>2.7499999999999998E-3</v>
      </c>
      <c r="N6" s="21">
        <v>1.08E-3</v>
      </c>
      <c r="O6" s="21">
        <v>1.8699999999999999E-3</v>
      </c>
      <c r="P6" s="21">
        <v>6.3400000000000001E-3</v>
      </c>
      <c r="Q6" s="21">
        <v>6.8199999999999997E-3</v>
      </c>
      <c r="R6" s="21">
        <v>1.15E-3</v>
      </c>
      <c r="S6" s="21">
        <v>3.3700000000000001E-2</v>
      </c>
      <c r="T6" s="21">
        <v>3.09E-2</v>
      </c>
      <c r="U6" s="21">
        <v>1.14E-2</v>
      </c>
      <c r="V6" s="21">
        <v>2.15E-3</v>
      </c>
      <c r="W6" s="21">
        <v>0</v>
      </c>
      <c r="X6" s="21">
        <v>4.3E-3</v>
      </c>
      <c r="Y6" s="21">
        <v>1.5499999999999999E-3</v>
      </c>
      <c r="Z6" s="21">
        <v>1E-3</v>
      </c>
      <c r="AA6" s="21">
        <v>1E-3</v>
      </c>
      <c r="AB6" s="21">
        <v>0</v>
      </c>
      <c r="AC6" s="21">
        <v>1.7899999999999999E-4</v>
      </c>
      <c r="AD6" s="21">
        <v>2.63E-3</v>
      </c>
    </row>
    <row r="7" spans="1:30">
      <c r="A7" s="20" t="s">
        <v>111</v>
      </c>
      <c r="B7" s="24">
        <v>2.2700000000000001E-2</v>
      </c>
      <c r="C7" s="24">
        <v>5.8500000000000002E-3</v>
      </c>
      <c r="D7" s="24">
        <v>2.92E-2</v>
      </c>
      <c r="E7" s="24">
        <v>7.3099999999999997E-3</v>
      </c>
      <c r="F7" s="24">
        <v>8.77E-3</v>
      </c>
      <c r="G7" s="24">
        <v>8.14E-2</v>
      </c>
      <c r="H7" s="24">
        <v>0</v>
      </c>
      <c r="I7" s="24">
        <v>0</v>
      </c>
      <c r="J7" s="24">
        <v>2.4399999999999999E-3</v>
      </c>
      <c r="K7" s="24">
        <v>1.61E-2</v>
      </c>
      <c r="L7" s="24">
        <v>0</v>
      </c>
      <c r="M7" s="24">
        <v>1.46E-2</v>
      </c>
      <c r="N7" s="24">
        <v>4.3E-3</v>
      </c>
      <c r="O7" s="24">
        <v>0</v>
      </c>
      <c r="P7" s="24">
        <v>0</v>
      </c>
      <c r="Q7" s="24">
        <v>0</v>
      </c>
      <c r="R7" s="24">
        <v>1.9499999999999999E-3</v>
      </c>
      <c r="S7" s="24">
        <v>2.2700000000000001E-2</v>
      </c>
      <c r="T7" s="24">
        <v>0</v>
      </c>
      <c r="U7" s="24">
        <v>3.9800000000000002E-2</v>
      </c>
      <c r="V7" s="24">
        <v>0</v>
      </c>
      <c r="W7" s="24">
        <v>0</v>
      </c>
      <c r="X7" s="24">
        <v>1.15E-2</v>
      </c>
      <c r="Y7" s="24">
        <v>1.04E-2</v>
      </c>
      <c r="Z7" s="24">
        <v>6.8199999999999997E-3</v>
      </c>
      <c r="AA7" s="24">
        <v>1.61E-2</v>
      </c>
      <c r="AB7" s="24">
        <v>0</v>
      </c>
      <c r="AC7" s="24">
        <v>0</v>
      </c>
      <c r="AD7" s="24">
        <v>3.4099999999999998E-3</v>
      </c>
    </row>
    <row r="8" spans="1:30">
      <c r="A8" s="20" t="s">
        <v>104</v>
      </c>
      <c r="B8" s="21">
        <v>6.28E-3</v>
      </c>
      <c r="C8" s="21">
        <v>4.9500000000000004E-3</v>
      </c>
      <c r="D8" s="21">
        <v>2.7299999999999998E-3</v>
      </c>
      <c r="E8" s="21">
        <v>2.9199999999999999E-3</v>
      </c>
      <c r="F8" s="21">
        <v>1.7799999999999999E-3</v>
      </c>
      <c r="G8" s="21">
        <v>1.9300000000000001E-3</v>
      </c>
      <c r="H8" s="21">
        <v>4.0600000000000002E-3</v>
      </c>
      <c r="I8" s="21">
        <v>2.9199999999999999E-3</v>
      </c>
      <c r="J8" s="21">
        <v>6.5900000000000004E-3</v>
      </c>
      <c r="K8" s="21">
        <v>4.0600000000000002E-3</v>
      </c>
      <c r="L8" s="21">
        <v>2.0600000000000002E-3</v>
      </c>
      <c r="M8" s="21">
        <v>3.3899999999999998E-3</v>
      </c>
      <c r="N8" s="21">
        <v>1.32E-3</v>
      </c>
      <c r="O8" s="21">
        <v>4.0499999999999998E-3</v>
      </c>
      <c r="P8" s="21">
        <v>4.2900000000000004E-3</v>
      </c>
      <c r="Q8" s="21">
        <v>0</v>
      </c>
      <c r="R8" s="21">
        <v>1.8799999999999999E-3</v>
      </c>
      <c r="S8" s="21">
        <v>8.6700000000000006E-3</v>
      </c>
      <c r="T8" s="21">
        <v>7.6E-3</v>
      </c>
      <c r="U8" s="21">
        <v>9.4999999999999998E-3</v>
      </c>
      <c r="V8" s="21">
        <v>6.1900000000000002E-3</v>
      </c>
      <c r="W8" s="21">
        <v>4.2100000000000002E-3</v>
      </c>
      <c r="X8" s="21">
        <v>0</v>
      </c>
      <c r="Y8" s="21">
        <v>1.65E-3</v>
      </c>
      <c r="Z8" s="21">
        <v>1.2899999999999999E-3</v>
      </c>
      <c r="AA8" s="21">
        <v>2.1800000000000001E-3</v>
      </c>
      <c r="AB8" s="21">
        <v>3.6700000000000001E-3</v>
      </c>
      <c r="AC8" s="21">
        <v>9.0200000000000002E-3</v>
      </c>
      <c r="AD8" s="21">
        <v>7.4299999999999995E-4</v>
      </c>
    </row>
    <row r="9" spans="1:30" ht="17" thickBot="1">
      <c r="A9" s="27" t="s">
        <v>395</v>
      </c>
      <c r="B9" s="28">
        <v>0</v>
      </c>
      <c r="C9" s="28">
        <v>1.95E-2</v>
      </c>
      <c r="D9" s="28">
        <v>0</v>
      </c>
      <c r="E9" s="28">
        <v>1.6799999999999999E-2</v>
      </c>
      <c r="F9" s="28">
        <v>2.42E-4</v>
      </c>
      <c r="G9" s="28">
        <v>0</v>
      </c>
      <c r="H9" s="28">
        <v>0</v>
      </c>
      <c r="I9" s="28">
        <v>0</v>
      </c>
      <c r="J9" s="28">
        <v>5.2299999999999999E-2</v>
      </c>
      <c r="K9" s="28">
        <v>0</v>
      </c>
      <c r="L9" s="28">
        <v>0</v>
      </c>
      <c r="M9" s="28">
        <v>8.3099999999999997E-3</v>
      </c>
      <c r="N9" s="28">
        <v>2.8200000000000002E-4</v>
      </c>
      <c r="O9" s="28">
        <v>0</v>
      </c>
      <c r="P9" s="28">
        <v>0</v>
      </c>
      <c r="Q9" s="28">
        <v>1.9300000000000001E-2</v>
      </c>
      <c r="R9" s="28">
        <v>2.5899999999999999E-2</v>
      </c>
      <c r="S9" s="28">
        <v>3.6200000000000003E-2</v>
      </c>
      <c r="T9" s="28">
        <v>8.0400000000000003E-3</v>
      </c>
      <c r="U9" s="28">
        <v>1.9400000000000001E-3</v>
      </c>
      <c r="V9" s="28">
        <v>5.7299999999999999E-3</v>
      </c>
      <c r="W9" s="28">
        <v>4.3600000000000002E-3</v>
      </c>
      <c r="X9" s="28">
        <v>4.84E-4</v>
      </c>
      <c r="Y9" s="28">
        <v>1.2099999999999999E-3</v>
      </c>
      <c r="Z9" s="28">
        <v>0</v>
      </c>
      <c r="AA9" s="28">
        <v>1.3100000000000001E-2</v>
      </c>
      <c r="AB9" s="28">
        <v>0.42199999999999999</v>
      </c>
      <c r="AC9" s="28">
        <v>0.129</v>
      </c>
      <c r="AD9" s="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Proteins</vt:lpstr>
      <vt:lpstr>ProteinRead</vt:lpstr>
      <vt:lpstr>Metabolites</vt:lpstr>
      <vt:lpstr>MetaboliteRead</vt:lpstr>
      <vt:lpstr>MetQ</vt:lpstr>
      <vt:lpstr>Fluxes</vt:lpstr>
      <vt:lpstr>FluxesRead</vt:lpstr>
      <vt:lpstr>FluxQ</vt:lpstr>
      <vt:lpstr>Extracelular</vt:lpstr>
      <vt:lpstr>ExtracelularRead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Miranda</dc:creator>
  <cp:lastModifiedBy>Gabriel Miranda</cp:lastModifiedBy>
  <dcterms:created xsi:type="dcterms:W3CDTF">2026-05-06T02:41:05Z</dcterms:created>
  <dcterms:modified xsi:type="dcterms:W3CDTF">2026-05-30T06:00:54Z</dcterms:modified>
</cp:coreProperties>
</file>